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barbe\maven_toys_analytics\deliverables\"/>
    </mc:Choice>
  </mc:AlternateContent>
  <xr:revisionPtr revIDLastSave="0" documentId="13_ncr:1_{457E8901-C33B-4A20-B8E2-53AE2D9DC075}" xr6:coauthVersionLast="47" xr6:coauthVersionMax="47" xr10:uidLastSave="{00000000-0000-0000-0000-000000000000}"/>
  <bookViews>
    <workbookView xWindow="-108" yWindow="-108" windowWidth="23256" windowHeight="12456" activeTab="3" xr2:uid="{00000000-000D-0000-FFFF-FFFF00000000}"/>
  </bookViews>
  <sheets>
    <sheet name="fct_monthly_revenue" sheetId="2" r:id="rId1"/>
    <sheet name="yoy_monthly_growth" sheetId="8" r:id="rId2"/>
    <sheet name="product_top10_margin" sheetId="10" r:id="rId3"/>
    <sheet name="Total_profit_revenue_by_product" sheetId="11" r:id="rId4"/>
    <sheet name="fct_product_performance" sheetId="3" r:id="rId5"/>
    <sheet name="store_performance_by_city" sheetId="9" r:id="rId6"/>
    <sheet name="fct_store_performance" sheetId="4" r:id="rId7"/>
  </sheets>
  <definedNames>
    <definedName name="ExternalData_1" localSheetId="0" hidden="1">fct_monthly_revenue!$A$1:$J$22</definedName>
    <definedName name="ExternalData_1" localSheetId="4" hidden="1">fct_product_performance!$A$1:$J$36</definedName>
    <definedName name="ExternalData_1" localSheetId="6" hidden="1">fct_store_performance!$A$1:$K$51</definedName>
  </definedNames>
  <calcPr calcId="162913"/>
  <pivotCaches>
    <pivotCache cacheId="0" r:id="rId8"/>
    <pivotCache cacheId="1" r:id="rId9"/>
    <pivotCache cacheId="2" r:id="rId10"/>
  </pivotCaches>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840BFD-9772-452A-8E2F-CF42E2D28A8F}" keepAlive="1" name="Query - fct_monthly_revenue" description="Connection to the 'fct_monthly_revenue' query in the workbook." type="5" refreshedVersion="8" background="1" saveData="1">
    <dbPr connection="Provider=Microsoft.Mashup.OleDb.1;Data Source=$Workbook$;Location=fct_monthly_revenue;Extended Properties=&quot;&quot;" command="SELECT * FROM [fct_monthly_revenue]"/>
  </connection>
  <connection id="2" xr16:uid="{8234B905-1281-4CAC-B1A0-84729493AD7E}" keepAlive="1" name="Query - fct_product_performance" description="Connection to the 'fct_product_performance' query in the workbook." type="5" refreshedVersion="8" background="1" saveData="1">
    <dbPr connection="Provider=Microsoft.Mashup.OleDb.1;Data Source=$Workbook$;Location=fct_product_performance;Extended Properties=&quot;&quot;" command="SELECT * FROM [fct_product_performance]"/>
  </connection>
  <connection id="3" xr16:uid="{974F2595-9DE0-4289-9928-B7C91C3E3E32}" keepAlive="1" name="Query - fct_store_performance" description="Connection to the 'fct_store_performance' query in the workbook." type="5" refreshedVersion="8" background="1" saveData="1">
    <dbPr connection="Provider=Microsoft.Mashup.OleDb.1;Data Source=$Workbook$;Location=fct_store_performance;Extended Properties=&quot;&quot;" command="SELECT * FROM [fct_store_performance]"/>
  </connection>
</connections>
</file>

<file path=xl/sharedStrings.xml><?xml version="1.0" encoding="utf-8"?>
<sst xmlns="http://schemas.openxmlformats.org/spreadsheetml/2006/main" count="334" uniqueCount="191">
  <si>
    <t>sale_month</t>
  </si>
  <si>
    <t>sale_year</t>
  </si>
  <si>
    <t>total_revenue</t>
  </si>
  <si>
    <t>total_profit</t>
  </si>
  <si>
    <t>total_units</t>
  </si>
  <si>
    <t>avg_margin</t>
  </si>
  <si>
    <t>prev_year_revenue</t>
  </si>
  <si>
    <t>prev_year_profit</t>
  </si>
  <si>
    <t>yoy_revenue_growth</t>
  </si>
  <si>
    <t>yoy_profit_growth</t>
  </si>
  <si>
    <t>542554.91</t>
  </si>
  <si>
    <t>167126.00</t>
  </si>
  <si>
    <t>541351.65</t>
  </si>
  <si>
    <t>161861.00</t>
  </si>
  <si>
    <t>589485.19</t>
  </si>
  <si>
    <t>173992.00</t>
  </si>
  <si>
    <t>681072.98</t>
  </si>
  <si>
    <t>190099.00</t>
  </si>
  <si>
    <t>672369.90</t>
  </si>
  <si>
    <t>186894.00</t>
  </si>
  <si>
    <t>661980.22</t>
  </si>
  <si>
    <t>189815.00</t>
  </si>
  <si>
    <t>556034.23</t>
  </si>
  <si>
    <t>176922.00</t>
  </si>
  <si>
    <t>489422.73</t>
  </si>
  <si>
    <t>158931.00</t>
  </si>
  <si>
    <t>585844.04</t>
  </si>
  <si>
    <t>166397.00</t>
  </si>
  <si>
    <t>product_id</t>
  </si>
  <si>
    <t>product_name</t>
  </si>
  <si>
    <t>product_category</t>
  </si>
  <si>
    <t>revenue_rank</t>
  </si>
  <si>
    <t>profit_rank</t>
  </si>
  <si>
    <t>avg_margin_rank</t>
  </si>
  <si>
    <t>Lego Bricks</t>
  </si>
  <si>
    <t>Toys</t>
  </si>
  <si>
    <t>Colorbuds</t>
  </si>
  <si>
    <t>Electronics</t>
  </si>
  <si>
    <t>Magic Sand</t>
  </si>
  <si>
    <t>Art &amp; Crafts</t>
  </si>
  <si>
    <t>Action Figure</t>
  </si>
  <si>
    <t>Rubik's Cube</t>
  </si>
  <si>
    <t>Games</t>
  </si>
  <si>
    <t>Deck Of Cards</t>
  </si>
  <si>
    <t>Splash Balls</t>
  </si>
  <si>
    <t>Sports &amp; Outdoors</t>
  </si>
  <si>
    <t>Nerf Gun</t>
  </si>
  <si>
    <t>Animal Figures</t>
  </si>
  <si>
    <t>Dart Gun</t>
  </si>
  <si>
    <t>Kids Makeup Kit</t>
  </si>
  <si>
    <t>Dinosaur Figures</t>
  </si>
  <si>
    <t>Dino Egg</t>
  </si>
  <si>
    <t>Glass Marbles</t>
  </si>
  <si>
    <t>Gamer Headphones</t>
  </si>
  <si>
    <t>Barrel O' Slime</t>
  </si>
  <si>
    <t>Mini Ping Pong Set</t>
  </si>
  <si>
    <t>PlayDoh Can</t>
  </si>
  <si>
    <t>Toy Robot</t>
  </si>
  <si>
    <t>Etch A Sketch</t>
  </si>
  <si>
    <t>PlayDoh Playset</t>
  </si>
  <si>
    <t>Hot Wheels 5-Pack</t>
  </si>
  <si>
    <t>Jenga</t>
  </si>
  <si>
    <t>PlayDoh Toolkit</t>
  </si>
  <si>
    <t>Plush Pony</t>
  </si>
  <si>
    <t>Supersoaker Water Gun</t>
  </si>
  <si>
    <t>Foam Disk Launcher</t>
  </si>
  <si>
    <t>Mr. Potatohead</t>
  </si>
  <si>
    <t>Teddy Bear</t>
  </si>
  <si>
    <t>Monopoly</t>
  </si>
  <si>
    <t>Mini Basketball Hoop</t>
  </si>
  <si>
    <t>Chutes &amp; Ladders</t>
  </si>
  <si>
    <t>Playfoam</t>
  </si>
  <si>
    <t>Classic Dominoes</t>
  </si>
  <si>
    <t>Uno Card Game</t>
  </si>
  <si>
    <t>store_id</t>
  </si>
  <si>
    <t>store_name</t>
  </si>
  <si>
    <t>store_location</t>
  </si>
  <si>
    <t>store_city</t>
  </si>
  <si>
    <t>days_open</t>
  </si>
  <si>
    <t>revenue_per_day</t>
  </si>
  <si>
    <t>profit_per_day</t>
  </si>
  <si>
    <t>units_sold_per_day</t>
  </si>
  <si>
    <t>Maven Toys Ciudad de Mexico 2</t>
  </si>
  <si>
    <t>Airport</t>
  </si>
  <si>
    <t>Cuidad de Mexico</t>
  </si>
  <si>
    <t>Maven Toys Guadalajara 4</t>
  </si>
  <si>
    <t>Downtown</t>
  </si>
  <si>
    <t>Guadalajara</t>
  </si>
  <si>
    <t>Maven Toys Monterrey 4</t>
  </si>
  <si>
    <t>Commercial</t>
  </si>
  <si>
    <t>Monterrey</t>
  </si>
  <si>
    <t>Maven Toys Ciudad de Mexico 4</t>
  </si>
  <si>
    <t>Maven Toys Guadalajara 3</t>
  </si>
  <si>
    <t>Maven Toys Guanajuato 3</t>
  </si>
  <si>
    <t>Residential</t>
  </si>
  <si>
    <t>Guanajuato</t>
  </si>
  <si>
    <t>Maven Toys Hermosillo 3</t>
  </si>
  <si>
    <t>Hermosillo</t>
  </si>
  <si>
    <t>Maven Toys Xalapa 2</t>
  </si>
  <si>
    <t>Xalapa</t>
  </si>
  <si>
    <t>Maven Toys Hermosillo 2</t>
  </si>
  <si>
    <t>Maven Toys Ciudad de Mexico 3</t>
  </si>
  <si>
    <t>Maven Toys Culiacan 1</t>
  </si>
  <si>
    <t>Culiacan</t>
  </si>
  <si>
    <t>Maven Toys Saltillo 2</t>
  </si>
  <si>
    <t>Saltillo</t>
  </si>
  <si>
    <t>Maven Toys Puebla 3</t>
  </si>
  <si>
    <t>Puebla</t>
  </si>
  <si>
    <t>Maven Toys Chihuahua 2</t>
  </si>
  <si>
    <t>Chihuahua</t>
  </si>
  <si>
    <t>Maven Toys Monterrey 3</t>
  </si>
  <si>
    <t>Maven Toys Morelia 1</t>
  </si>
  <si>
    <t>Morelia</t>
  </si>
  <si>
    <t>Maven Toys Toluca 1</t>
  </si>
  <si>
    <t>Toluca</t>
  </si>
  <si>
    <t>Maven Toys Villahermosa 1</t>
  </si>
  <si>
    <t>Villahermosa</t>
  </si>
  <si>
    <t>Maven Toys Durango 1</t>
  </si>
  <si>
    <t>Durango</t>
  </si>
  <si>
    <t>Maven Toys Toluca 2</t>
  </si>
  <si>
    <t>Maven Toys Chilpancingo 1</t>
  </si>
  <si>
    <t>Chilpancingo</t>
  </si>
  <si>
    <t>Maven Toys Ciudad de Mexico 1</t>
  </si>
  <si>
    <t>Maven Toys Puebla 2</t>
  </si>
  <si>
    <t>Maven Toys Ciudad Victoria 1</t>
  </si>
  <si>
    <t>Ciudad Victoria</t>
  </si>
  <si>
    <t>Maven Toys Xalapa 1</t>
  </si>
  <si>
    <t>Maven Toys Hermosillo 1</t>
  </si>
  <si>
    <t>Maven Toys Guanajuato 2</t>
  </si>
  <si>
    <t>Maven Toys Santiago 1</t>
  </si>
  <si>
    <t>Santiago</t>
  </si>
  <si>
    <t>Maven Toys Monterrey 2</t>
  </si>
  <si>
    <t>Maven Toys Guanajuato 1</t>
  </si>
  <si>
    <t>Maven Toys Chihuahua 1</t>
  </si>
  <si>
    <t>Maven Toys Oaxaca 1</t>
  </si>
  <si>
    <t>Oaxaca</t>
  </si>
  <si>
    <t>Maven Toys Aguascalientes 1</t>
  </si>
  <si>
    <t>Aguascalientes</t>
  </si>
  <si>
    <t>Maven Toys Puebla 1</t>
  </si>
  <si>
    <t>Maven Toys Mexicali 2</t>
  </si>
  <si>
    <t>Mexicali</t>
  </si>
  <si>
    <t>Maven Toys Campeche 1</t>
  </si>
  <si>
    <t>Campeche</t>
  </si>
  <si>
    <t>Maven Toys San Luis Potosi 1</t>
  </si>
  <si>
    <t>San Luis Potosi</t>
  </si>
  <si>
    <t>Maven Toys Zacatecas 1</t>
  </si>
  <si>
    <t>Zacatecas</t>
  </si>
  <si>
    <t>Maven Toys Campeche 2</t>
  </si>
  <si>
    <t>Maven Toys Merida 1</t>
  </si>
  <si>
    <t>Merida</t>
  </si>
  <si>
    <t>Maven Toys Chetumal 1</t>
  </si>
  <si>
    <t>Chetumal</t>
  </si>
  <si>
    <t>Maven Toys Mexicali 1</t>
  </si>
  <si>
    <t>Maven Toys Saltillo 1</t>
  </si>
  <si>
    <t>Maven Toys Tuxtla Gutierrez 1</t>
  </si>
  <si>
    <t>Tuxtla Gutierrez</t>
  </si>
  <si>
    <t>Maven Toys Pachuca 1</t>
  </si>
  <si>
    <t>Pachuca</t>
  </si>
  <si>
    <t>Maven Toys Cuernavaca 1</t>
  </si>
  <si>
    <t>Cuernavaca</t>
  </si>
  <si>
    <t>Maven Toys Guadalajara 2</t>
  </si>
  <si>
    <t>Maven Toys Monterrey 1</t>
  </si>
  <si>
    <t>Maven Toys La Paz 1</t>
  </si>
  <si>
    <t>La Paz</t>
  </si>
  <si>
    <t>Maven Toys Guadalajara 1</t>
  </si>
  <si>
    <t>Row Labels</t>
  </si>
  <si>
    <t>Grand Total</t>
  </si>
  <si>
    <t>Jan</t>
  </si>
  <si>
    <t>Feb</t>
  </si>
  <si>
    <t>Mar</t>
  </si>
  <si>
    <t>Apr</t>
  </si>
  <si>
    <t>May</t>
  </si>
  <si>
    <t>Jun</t>
  </si>
  <si>
    <t>Jul</t>
  </si>
  <si>
    <t>Aug</t>
  </si>
  <si>
    <t>Sep</t>
  </si>
  <si>
    <t>Oct</t>
  </si>
  <si>
    <t>Nov</t>
  </si>
  <si>
    <t>Dec</t>
  </si>
  <si>
    <t>Sum of yoy_revenue_growth</t>
  </si>
  <si>
    <t>Sum of yoy_profit_growth</t>
  </si>
  <si>
    <t>Note:</t>
  </si>
  <si>
    <t>Business decision: 2023 March and July sales must be studied deeper</t>
  </si>
  <si>
    <t>Sum of revenue_per_day</t>
  </si>
  <si>
    <t>Sum of profit_per_day</t>
  </si>
  <si>
    <t>Business Decision: Cuidad de Mexico has the greatest population and it drives the most revenue. Diversify revenue drive, analyze marketing data, invest more into marketing but balance the operating costs too.</t>
  </si>
  <si>
    <t>Sum of total_revenue</t>
  </si>
  <si>
    <t>Sum of total_profit</t>
  </si>
  <si>
    <t>Sum of avg_margin</t>
  </si>
  <si>
    <t>Business Decision - We can see that Jenga has greatest margin. And Colorbuds best revenue driver has great margin too. Basketball hoop Payfoam and Plush Pony has good margins but they do not sell good. We need to capitalize on those sales to bring more profit in. Maybe work with colorbud pricing too, to increase the margin to 60%.</t>
  </si>
  <si>
    <t>Business decision: Need to make Lego bricks profit margin greater, raising the prices of Lego bricks. We might loose some customers, but we would make more profit too, so some pricing expermentation is needed to make more profits.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</si>
</sst>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0" fontId="0" fillId="0" borderId="0" xfId="0" pivotButton="1"/>
    <xf numFmtId="0" fontId="0" fillId="0" borderId="0" xfId="0" applyAlignment="1">
      <alignment horizontal="left"/>
    </xf>
    <xf numFmtId="2"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[Maven_toys_report_2.xlsx]yoy_monthly_growth!PivotTable3</c:name>
    <c:fmtId val="0"/>
  </c:pivotSource>
  <c:chart>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yoy_monthly_growth!$B$1</c:f>
              <c:strCache>
                <c:ptCount val="1"/>
                <c:pt idx="0">
                  <c:v>Sum of yoy_revenue_growth</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yoy_monthly_growth!$A$2:$A$14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yoy_monthly_growth!$B$2:$B$14</c:f>
              <c:numCache>
                <c:formatCode>General</c:formatCode>
                <c:ptCount val="12"/>
                <c:pt idx="0">
                  <c:v>37.72</c:v>
                </c:pt>
                <c:pt idx="1">
                  <c:v>33.49</c:v>
                </c:pt>
                <c:pt idx="2">
                  <c:v>49.88</c:v>
                </c:pt>
                <c:pt idx="3">
                  <c:v>21.53</c:v>
                </c:pt>
                <c:pt idx="4">
                  <c:v>22.75</c:v>
                </c:pt>
                <c:pt idx="5">
                  <c:v>22.1</c:v>
                </c:pt>
                <c:pt idx="6">
                  <c:v>48.97</c:v>
                </c:pt>
                <c:pt idx="7">
                  <c:v>35.03</c:v>
                </c:pt>
                <c:pt idx="8">
                  <c:v>12.35</c:v>
                </c:pt>
                <c:pt idx="9">
                  <c:v>0</c:v>
                </c:pt>
                <c:pt idx="10">
                  <c:v>0</c:v>
                </c:pt>
                <c:pt idx="11">
                  <c:v>0</c:v>
                </c:pt>
              </c:numCache>
            </c:numRef>
          </c:val>
          <c:smooth val="0"/>
          <c:extLst>
            <c:ext xmlns:c16="http://schemas.microsoft.com/office/drawing/2014/chart" uri="{C3380CC4-5D6E-409C-BE32-E72D297353CC}">
              <c16:uniqueId val="{00000000-40F6-453E-99F5-CD76E304E30F}"/>
            </c:ext>
          </c:extLst>
        </c:ser>
        <c:ser>
          <c:idx val="1"/>
          <c:order val="1"/>
          <c:tx>
            <c:strRef>
              <c:f>yoy_monthly_growth!$C$1</c:f>
              <c:strCache>
                <c:ptCount val="1"/>
                <c:pt idx="0">
                  <c:v>Sum of yoy_profit_growth</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yoy_monthly_growth!$A$2:$A$14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yoy_monthly_growth!$C$2:$C$14</c:f>
              <c:numCache>
                <c:formatCode>0.00</c:formatCode>
                <c:ptCount val="12"/>
                <c:pt idx="0">
                  <c:v>22.71</c:v>
                </c:pt>
                <c:pt idx="1">
                  <c:v>16.96</c:v>
                </c:pt>
                <c:pt idx="2">
                  <c:v>33.29</c:v>
                </c:pt>
                <c:pt idx="3">
                  <c:v>13.15</c:v>
                </c:pt>
                <c:pt idx="4">
                  <c:v>12.55</c:v>
                </c:pt>
                <c:pt idx="5">
                  <c:v>9.17</c:v>
                </c:pt>
                <c:pt idx="6">
                  <c:v>18.59</c:v>
                </c:pt>
                <c:pt idx="7">
                  <c:v>10.130000000000001</c:v>
                </c:pt>
                <c:pt idx="8">
                  <c:v>8.44</c:v>
                </c:pt>
                <c:pt idx="9">
                  <c:v>0</c:v>
                </c:pt>
                <c:pt idx="10">
                  <c:v>0</c:v>
                </c:pt>
                <c:pt idx="11">
                  <c:v>0</c:v>
                </c:pt>
              </c:numCache>
            </c:numRef>
          </c:val>
          <c:smooth val="0"/>
          <c:extLst>
            <c:ext xmlns:c16="http://schemas.microsoft.com/office/drawing/2014/chart" uri="{C3380CC4-5D6E-409C-BE32-E72D297353CC}">
              <c16:uniqueId val="{00000002-40F6-453E-99F5-CD76E304E30F}"/>
            </c:ext>
          </c:extLst>
        </c:ser>
        <c:dLbls>
          <c:dLblPos val="ctr"/>
          <c:showLegendKey val="0"/>
          <c:showVal val="1"/>
          <c:showCatName val="0"/>
          <c:showSerName val="0"/>
          <c:showPercent val="0"/>
          <c:showBubbleSize val="0"/>
        </c:dLbls>
        <c:marker val="1"/>
        <c:smooth val="0"/>
        <c:axId val="2115218464"/>
        <c:axId val="2115212704"/>
      </c:lineChart>
      <c:catAx>
        <c:axId val="21152184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15212704"/>
        <c:crosses val="autoZero"/>
        <c:auto val="1"/>
        <c:lblAlgn val="ctr"/>
        <c:lblOffset val="100"/>
        <c:noMultiLvlLbl val="0"/>
      </c:catAx>
      <c:valAx>
        <c:axId val="211521270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152184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[Maven_toys_report_2.xlsx]product_top10_margin!PivotTable5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product_top10_margin!$B$1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product_top10_margin!$A$2:$A$12</c:f>
              <c:strCache>
                <c:ptCount val="10"/>
                <c:pt idx="0">
                  <c:v>Glass Marbles</c:v>
                </c:pt>
                <c:pt idx="1">
                  <c:v>Etch A Sketch</c:v>
                </c:pt>
                <c:pt idx="2">
                  <c:v>Mr. Potatohead</c:v>
                </c:pt>
                <c:pt idx="3">
                  <c:v>Uno Card Game</c:v>
                </c:pt>
                <c:pt idx="4">
                  <c:v>Barrel O' Slime</c:v>
                </c:pt>
                <c:pt idx="5">
                  <c:v>Colorbuds</c:v>
                </c:pt>
                <c:pt idx="6">
                  <c:v>Plush Pony</c:v>
                </c:pt>
                <c:pt idx="7">
                  <c:v>Playfoam</c:v>
                </c:pt>
                <c:pt idx="8">
                  <c:v>Mini Basketball Hoop</c:v>
                </c:pt>
                <c:pt idx="9">
                  <c:v>Jenga</c:v>
                </c:pt>
              </c:strCache>
            </c:strRef>
          </c:cat>
          <c:val>
            <c:numRef>
              <c:f>product_top10_margin!$B$2:$B$12</c:f>
              <c:numCache>
                <c:formatCode>General</c:formatCode>
                <c:ptCount val="10"/>
                <c:pt idx="0">
                  <c:v>45.5</c:v>
                </c:pt>
                <c:pt idx="1">
                  <c:v>47.64</c:v>
                </c:pt>
                <c:pt idx="2">
                  <c:v>50.05</c:v>
                </c:pt>
                <c:pt idx="3">
                  <c:v>50.06</c:v>
                </c:pt>
                <c:pt idx="4">
                  <c:v>50.13</c:v>
                </c:pt>
                <c:pt idx="5">
                  <c:v>53.37</c:v>
                </c:pt>
                <c:pt idx="6">
                  <c:v>55.03</c:v>
                </c:pt>
                <c:pt idx="7">
                  <c:v>63.69</c:v>
                </c:pt>
                <c:pt idx="8">
                  <c:v>64.03</c:v>
                </c:pt>
                <c:pt idx="9">
                  <c:v>70.069999999999993</c:v>
                </c:pt>
              </c:numCache>
            </c:numRef>
          </c:val>
          <c:extLst>
            <c:ext xmlns:c16="http://schemas.microsoft.com/office/drawing/2014/chart" uri="{C3380CC4-5D6E-409C-BE32-E72D297353CC}">
              <c16:uniqueId val="{00000000-1DD7-407C-B6AA-E89C5D65D72F}"/>
            </c:ext>
          </c:extLst>
        </c:ser>
        <c:dLbls>
          <c:dLblPos val="inEnd"/>
          <c:showLegendKey val="0"/>
          <c:showVal val="1"/>
          <c:showCatName val="0"/>
          <c:showSerName val="0"/>
          <c:showPercent val="0"/>
          <c:showBubbleSize val="0"/>
        </c:dLbls>
        <c:gapWidth val="65"/>
        <c:axId val="1324554608"/>
        <c:axId val="1324555088"/>
      </c:barChart>
      <c:catAx>
        <c:axId val="13245546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24555088"/>
        <c:crosses val="autoZero"/>
        <c:auto val="1"/>
        <c:lblAlgn val="ctr"/>
        <c:lblOffset val="100"/>
        <c:noMultiLvlLbl val="0"/>
      </c:catAx>
      <c:valAx>
        <c:axId val="13245550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245546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[Maven_toys_report_2.xlsx]Total_profit_revenue_by_product!PivotTable6</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Total_profit_revenue_by_product!$B$1</c:f>
              <c:strCache>
                <c:ptCount val="1"/>
                <c:pt idx="0">
                  <c:v>Sum of total_revenue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Total_profit_revenue_by_product!$A$2:$A$12</c:f>
              <c:strCache>
                <c:ptCount val="10"/>
                <c:pt idx="0">
                  <c:v>Lego Bricks</c:v>
                </c:pt>
                <c:pt idx="1">
                  <c:v>Colorbuds</c:v>
                </c:pt>
                <c:pt idx="2">
                  <c:v>Magic Sand</c:v>
                </c:pt>
                <c:pt idx="3">
                  <c:v>Action Figure</c:v>
                </c:pt>
                <c:pt idx="4">
                  <c:v>Rubik's Cube</c:v>
                </c:pt>
                <c:pt idx="5">
                  <c:v>Deck Of Cards</c:v>
                </c:pt>
                <c:pt idx="6">
                  <c:v>Splash Balls</c:v>
                </c:pt>
                <c:pt idx="7">
                  <c:v>Nerf Gun</c:v>
                </c:pt>
                <c:pt idx="8">
                  <c:v>Animal Figures</c:v>
                </c:pt>
                <c:pt idx="9">
                  <c:v>Dart Gun</c:v>
                </c:pt>
              </c:strCache>
            </c:strRef>
          </c:cat>
          <c:val>
            <c:numRef>
              <c:f>Total_profit_revenue_by_product!$B$2:$B$12</c:f>
              <c:numCache>
                <c:formatCode>General</c:formatCode>
                <c:ptCount val="10"/>
                <c:pt idx="0">
                  <c:v>2388882.63</c:v>
                </c:pt>
                <c:pt idx="1">
                  <c:v>1564476.32</c:v>
                </c:pt>
                <c:pt idx="2">
                  <c:v>968962.02</c:v>
                </c:pt>
                <c:pt idx="3">
                  <c:v>926748.42</c:v>
                </c:pt>
                <c:pt idx="4">
                  <c:v>912983.28</c:v>
                </c:pt>
                <c:pt idx="5">
                  <c:v>587397.66</c:v>
                </c:pt>
                <c:pt idx="6">
                  <c:v>541629.52</c:v>
                </c:pt>
                <c:pt idx="7">
                  <c:v>530594.56999999995</c:v>
                </c:pt>
                <c:pt idx="8">
                  <c:v>507766.11</c:v>
                </c:pt>
                <c:pt idx="9">
                  <c:v>505092.12</c:v>
                </c:pt>
              </c:numCache>
            </c:numRef>
          </c:val>
          <c:extLst>
            <c:ext xmlns:c16="http://schemas.microsoft.com/office/drawing/2014/chart" uri="{C3380CC4-5D6E-409C-BE32-E72D297353CC}">
              <c16:uniqueId val="{00000000-8FC0-49BB-A175-6F34A6AA21A9}"/>
            </c:ext>
          </c:extLst>
        </c:ser>
        <c:ser>
          <c:idx val="1"/>
          <c:order val="1"/>
          <c:tx>
            <c:strRef>
              <c:f>Total_profit_revenue_by_product!$C$1</c:f>
              <c:strCache>
                <c:ptCount val="1"/>
                <c:pt idx="0">
                  <c:v>Sum of total_profit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Total_profit_revenue_by_product!$A$2:$A$12</c:f>
              <c:strCache>
                <c:ptCount val="10"/>
                <c:pt idx="0">
                  <c:v>Lego Bricks</c:v>
                </c:pt>
                <c:pt idx="1">
                  <c:v>Colorbuds</c:v>
                </c:pt>
                <c:pt idx="2">
                  <c:v>Magic Sand</c:v>
                </c:pt>
                <c:pt idx="3">
                  <c:v>Action Figure</c:v>
                </c:pt>
                <c:pt idx="4">
                  <c:v>Rubik's Cube</c:v>
                </c:pt>
                <c:pt idx="5">
                  <c:v>Deck Of Cards</c:v>
                </c:pt>
                <c:pt idx="6">
                  <c:v>Splash Balls</c:v>
                </c:pt>
                <c:pt idx="7">
                  <c:v>Nerf Gun</c:v>
                </c:pt>
                <c:pt idx="8">
                  <c:v>Animal Figures</c:v>
                </c:pt>
                <c:pt idx="9">
                  <c:v>Dart Gun</c:v>
                </c:pt>
              </c:strCache>
            </c:strRef>
          </c:cat>
          <c:val>
            <c:numRef>
              <c:f>Total_profit_revenue_by_product!$C$2:$C$12</c:f>
              <c:numCache>
                <c:formatCode>General</c:formatCode>
                <c:ptCount val="10"/>
                <c:pt idx="0">
                  <c:v>298685</c:v>
                </c:pt>
                <c:pt idx="1">
                  <c:v>834944</c:v>
                </c:pt>
                <c:pt idx="2">
                  <c:v>121196</c:v>
                </c:pt>
                <c:pt idx="3">
                  <c:v>347748</c:v>
                </c:pt>
                <c:pt idx="4">
                  <c:v>91344</c:v>
                </c:pt>
                <c:pt idx="5">
                  <c:v>252102</c:v>
                </c:pt>
                <c:pt idx="6">
                  <c:v>60248</c:v>
                </c:pt>
                <c:pt idx="7">
                  <c:v>132715</c:v>
                </c:pt>
                <c:pt idx="8">
                  <c:v>117267</c:v>
                </c:pt>
                <c:pt idx="9">
                  <c:v>126352</c:v>
                </c:pt>
              </c:numCache>
            </c:numRef>
          </c:val>
          <c:extLst>
            <c:ext xmlns:c16="http://schemas.microsoft.com/office/drawing/2014/chart" uri="{C3380CC4-5D6E-409C-BE32-E72D297353CC}">
              <c16:uniqueId val="{00000002-8FC0-49BB-A175-6F34A6AA21A9}"/>
            </c:ext>
          </c:extLst>
        </c:ser>
        <c:dLbls>
          <c:dLblPos val="inEnd"/>
          <c:showLegendKey val="0"/>
          <c:showVal val="1"/>
          <c:showCatName val="0"/>
          <c:showSerName val="0"/>
          <c:showPercent val="0"/>
          <c:showBubbleSize val="0"/>
        </c:dLbls>
        <c:gapWidth val="65"/>
        <c:axId val="1324560848"/>
        <c:axId val="1324573328"/>
      </c:barChart>
      <c:catAx>
        <c:axId val="13245608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24573328"/>
        <c:crosses val="autoZero"/>
        <c:auto val="1"/>
        <c:lblAlgn val="ctr"/>
        <c:lblOffset val="100"/>
        <c:noMultiLvlLbl val="0"/>
      </c:catAx>
      <c:valAx>
        <c:axId val="132457332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2456084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[Maven_toys_report_2.xlsx]store_performance_by_city!PivotTable4</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store_performance_by_city!$B$1</c:f>
              <c:strCache>
                <c:ptCount val="1"/>
                <c:pt idx="0">
                  <c:v>Sum of revenue_per_day</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store_performance_by_city!$A$2:$A$12</c:f>
              <c:strCache>
                <c:ptCount val="10"/>
                <c:pt idx="0">
                  <c:v>Cuidad de Mexico</c:v>
                </c:pt>
                <c:pt idx="1">
                  <c:v>Guadalajara</c:v>
                </c:pt>
                <c:pt idx="2">
                  <c:v>Monterrey</c:v>
                </c:pt>
                <c:pt idx="3">
                  <c:v>Hermosillo</c:v>
                </c:pt>
                <c:pt idx="4">
                  <c:v>Guanajuato</c:v>
                </c:pt>
                <c:pt idx="5">
                  <c:v>Puebla</c:v>
                </c:pt>
                <c:pt idx="6">
                  <c:v>Xalapa</c:v>
                </c:pt>
                <c:pt idx="7">
                  <c:v>Toluca</c:v>
                </c:pt>
                <c:pt idx="8">
                  <c:v>Saltillo</c:v>
                </c:pt>
                <c:pt idx="9">
                  <c:v>Chihuahua</c:v>
                </c:pt>
              </c:strCache>
            </c:strRef>
          </c:cat>
          <c:val>
            <c:numRef>
              <c:f>store_performance_by_city!$B$2:$B$12</c:f>
              <c:numCache>
                <c:formatCode>General</c:formatCode>
                <c:ptCount val="10"/>
                <c:pt idx="0">
                  <c:v>396.71000000000004</c:v>
                </c:pt>
                <c:pt idx="1">
                  <c:v>276.8</c:v>
                </c:pt>
                <c:pt idx="2">
                  <c:v>265.89999999999998</c:v>
                </c:pt>
                <c:pt idx="3">
                  <c:v>254.89</c:v>
                </c:pt>
                <c:pt idx="4">
                  <c:v>210.7</c:v>
                </c:pt>
                <c:pt idx="5">
                  <c:v>193.37</c:v>
                </c:pt>
                <c:pt idx="6">
                  <c:v>159.07</c:v>
                </c:pt>
                <c:pt idx="7">
                  <c:v>136.32999999999998</c:v>
                </c:pt>
                <c:pt idx="8">
                  <c:v>128.74</c:v>
                </c:pt>
                <c:pt idx="9">
                  <c:v>128.16999999999999</c:v>
                </c:pt>
              </c:numCache>
            </c:numRef>
          </c:val>
          <c:extLst>
            <c:ext xmlns:c16="http://schemas.microsoft.com/office/drawing/2014/chart" uri="{C3380CC4-5D6E-409C-BE32-E72D297353CC}">
              <c16:uniqueId val="{00000000-3999-4FEB-ABB2-9FF577EBDCAB}"/>
            </c:ext>
          </c:extLst>
        </c:ser>
        <c:ser>
          <c:idx val="1"/>
          <c:order val="1"/>
          <c:tx>
            <c:strRef>
              <c:f>store_performance_by_city!$C$1</c:f>
              <c:strCache>
                <c:ptCount val="1"/>
                <c:pt idx="0">
                  <c:v>Sum of profit_per_day</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store_performance_by_city!$A$2:$A$12</c:f>
              <c:strCache>
                <c:ptCount val="10"/>
                <c:pt idx="0">
                  <c:v>Cuidad de Mexico</c:v>
                </c:pt>
                <c:pt idx="1">
                  <c:v>Guadalajara</c:v>
                </c:pt>
                <c:pt idx="2">
                  <c:v>Monterrey</c:v>
                </c:pt>
                <c:pt idx="3">
                  <c:v>Hermosillo</c:v>
                </c:pt>
                <c:pt idx="4">
                  <c:v>Guanajuato</c:v>
                </c:pt>
                <c:pt idx="5">
                  <c:v>Puebla</c:v>
                </c:pt>
                <c:pt idx="6">
                  <c:v>Xalapa</c:v>
                </c:pt>
                <c:pt idx="7">
                  <c:v>Toluca</c:v>
                </c:pt>
                <c:pt idx="8">
                  <c:v>Saltillo</c:v>
                </c:pt>
                <c:pt idx="9">
                  <c:v>Chihuahua</c:v>
                </c:pt>
              </c:strCache>
            </c:strRef>
          </c:cat>
          <c:val>
            <c:numRef>
              <c:f>store_performance_by_city!$C$2:$C$12</c:f>
              <c:numCache>
                <c:formatCode>General</c:formatCode>
                <c:ptCount val="10"/>
                <c:pt idx="0">
                  <c:v>112.88</c:v>
                </c:pt>
                <c:pt idx="1">
                  <c:v>78.05</c:v>
                </c:pt>
                <c:pt idx="2">
                  <c:v>72.039999999999992</c:v>
                </c:pt>
                <c:pt idx="3">
                  <c:v>73.989999999999995</c:v>
                </c:pt>
                <c:pt idx="4">
                  <c:v>55.65</c:v>
                </c:pt>
                <c:pt idx="5">
                  <c:v>55.08</c:v>
                </c:pt>
                <c:pt idx="6">
                  <c:v>42.43</c:v>
                </c:pt>
                <c:pt idx="7">
                  <c:v>35.129999999999995</c:v>
                </c:pt>
                <c:pt idx="8">
                  <c:v>35.979999999999997</c:v>
                </c:pt>
                <c:pt idx="9">
                  <c:v>36.5</c:v>
                </c:pt>
              </c:numCache>
            </c:numRef>
          </c:val>
          <c:extLst>
            <c:ext xmlns:c16="http://schemas.microsoft.com/office/drawing/2014/chart" uri="{C3380CC4-5D6E-409C-BE32-E72D297353CC}">
              <c16:uniqueId val="{00000002-3999-4FEB-ABB2-9FF577EBDCAB}"/>
            </c:ext>
          </c:extLst>
        </c:ser>
        <c:dLbls>
          <c:dLblPos val="inEnd"/>
          <c:showLegendKey val="0"/>
          <c:showVal val="1"/>
          <c:showCatName val="0"/>
          <c:showSerName val="0"/>
          <c:showPercent val="0"/>
          <c:showBubbleSize val="0"/>
        </c:dLbls>
        <c:gapWidth val="65"/>
        <c:axId val="2115237664"/>
        <c:axId val="2115230464"/>
      </c:barChart>
      <c:catAx>
        <c:axId val="21152376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2115230464"/>
        <c:crosses val="autoZero"/>
        <c:auto val="1"/>
        <c:lblAlgn val="ctr"/>
        <c:lblOffset val="100"/>
        <c:noMultiLvlLbl val="0"/>
      </c:catAx>
      <c:valAx>
        <c:axId val="211523046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152376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12</xdr:col>
      <xdr:colOff>601980</xdr:colOff>
      <xdr:row>21</xdr:row>
      <xdr:rowOff>175260</xdr:rowOff>
    </xdr:to>
    <xdr:graphicFrame macro="">
      <xdr:nvGraphicFramePr>
        <xdr:cNvPr id="2" name="Chart 1">
          <a:extLst>
            <a:ext uri="{FF2B5EF4-FFF2-40B4-BE49-F238E27FC236}">
              <a16:creationId xmlns:a16="http://schemas.microsoft.com/office/drawing/2014/main" id="{51120349-5544-66DC-5E09-36FAEE368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22860</xdr:colOff>
      <xdr:row>0</xdr:row>
      <xdr:rowOff>0</xdr:rowOff>
    </xdr:from>
    <xdr:to>
      <xdr:col>11</xdr:col>
      <xdr:colOff>0</xdr:colOff>
      <xdr:row>20</xdr:row>
      <xdr:rowOff>0</xdr:rowOff>
    </xdr:to>
    <xdr:graphicFrame macro="">
      <xdr:nvGraphicFramePr>
        <xdr:cNvPr id="2" name="Chart 1">
          <a:extLst>
            <a:ext uri="{FF2B5EF4-FFF2-40B4-BE49-F238E27FC236}">
              <a16:creationId xmlns:a16="http://schemas.microsoft.com/office/drawing/2014/main" id="{387178DF-02D1-E2DF-0587-17BA4813C8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xdr:colOff>
      <xdr:row>0</xdr:row>
      <xdr:rowOff>0</xdr:rowOff>
    </xdr:from>
    <xdr:to>
      <xdr:col>14</xdr:col>
      <xdr:colOff>0</xdr:colOff>
      <xdr:row>24</xdr:row>
      <xdr:rowOff>175260</xdr:rowOff>
    </xdr:to>
    <xdr:graphicFrame macro="">
      <xdr:nvGraphicFramePr>
        <xdr:cNvPr id="2" name="Chart 1">
          <a:extLst>
            <a:ext uri="{FF2B5EF4-FFF2-40B4-BE49-F238E27FC236}">
              <a16:creationId xmlns:a16="http://schemas.microsoft.com/office/drawing/2014/main" id="{1B8787BF-F227-7D2D-8AF2-5D55ED608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xdr:colOff>
      <xdr:row>0</xdr:row>
      <xdr:rowOff>0</xdr:rowOff>
    </xdr:from>
    <xdr:to>
      <xdr:col>12</xdr:col>
      <xdr:colOff>601980</xdr:colOff>
      <xdr:row>20</xdr:row>
      <xdr:rowOff>7620</xdr:rowOff>
    </xdr:to>
    <xdr:graphicFrame macro="">
      <xdr:nvGraphicFramePr>
        <xdr:cNvPr id="2" name="Chart 1">
          <a:extLst>
            <a:ext uri="{FF2B5EF4-FFF2-40B4-BE49-F238E27FC236}">
              <a16:creationId xmlns:a16="http://schemas.microsoft.com/office/drawing/2014/main" id="{9DF8583D-5254-8EFD-8D36-B4B9D4C17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Baranovskis" refreshedDate="46142.65413703704" createdVersion="8" refreshedVersion="8" minRefreshableVersion="3" recordCount="21" xr:uid="{AF9C8254-8690-4DF6-84A0-2B5AEFC27AB2}">
  <cacheSource type="worksheet">
    <worksheetSource name="fct_monthly_revenue"/>
  </cacheSource>
  <cacheFields count="13">
    <cacheField name="sale_month" numFmtId="22">
      <sharedItems containsSemiMixedTypes="0" containsNonDate="0" containsDate="1" containsString="0" minDate="2022-01-01T02:00:00" maxDate="2023-09-01T03:00:00" count="21">
        <d v="2022-01-01T02:00:00"/>
        <d v="2022-02-01T02:00:00"/>
        <d v="2022-03-01T02:00:00"/>
        <d v="2022-04-01T03:00:00"/>
        <d v="2022-05-01T03:00:00"/>
        <d v="2022-06-01T03:00:00"/>
        <d v="2022-07-01T03:00:00"/>
        <d v="2022-08-01T03:00:00"/>
        <d v="2022-09-01T03:00:00"/>
        <d v="2022-10-01T03:00:00"/>
        <d v="2022-11-01T02:00:00"/>
        <d v="2022-12-01T02:00:00"/>
        <d v="2023-01-01T02:00:00"/>
        <d v="2023-02-01T02:00:00"/>
        <d v="2023-03-01T02:00:00"/>
        <d v="2023-04-01T03:00:00"/>
        <d v="2023-05-01T03:00:00"/>
        <d v="2023-06-01T03:00:00"/>
        <d v="2023-07-01T03:00:00"/>
        <d v="2023-08-01T03:00:00"/>
        <d v="2023-09-01T03:00:00"/>
      </sharedItems>
      <fieldGroup par="12"/>
    </cacheField>
    <cacheField name="sale_year" numFmtId="0">
      <sharedItems containsSemiMixedTypes="0" containsString="0" containsNumber="1" containsInteger="1" minValue="2022" maxValue="2023"/>
    </cacheField>
    <cacheField name="total_revenue" numFmtId="0">
      <sharedItems containsSemiMixedTypes="0" containsString="0" containsNumber="1" minValue="489422.73" maxValue="883515.64"/>
    </cacheField>
    <cacheField name="total_profit" numFmtId="0">
      <sharedItems containsSemiMixedTypes="0" containsString="0" containsNumber="1" containsInteger="1" minValue="158931" maxValue="246078"/>
    </cacheField>
    <cacheField name="total_units" numFmtId="0">
      <sharedItems containsSemiMixedTypes="0" containsString="0" containsNumber="1" containsInteger="1" minValue="36935" maxValue="69336"/>
    </cacheField>
    <cacheField name="avg_margin" numFmtId="0">
      <sharedItems containsSemiMixedTypes="0" containsString="0" containsNumber="1" minValue="29.51" maxValue="33.51"/>
    </cacheField>
    <cacheField name="prev_year_revenue" numFmtId="0">
      <sharedItems containsMixedTypes="1" containsNumber="1" containsInteger="1" minValue="0" maxValue="0"/>
    </cacheField>
    <cacheField name="prev_year_profit" numFmtId="0">
      <sharedItems containsMixedTypes="1" containsNumber="1" containsInteger="1" minValue="0" maxValue="0"/>
    </cacheField>
    <cacheField name="yoy_revenue_growth" numFmtId="0">
      <sharedItems containsSemiMixedTypes="0" containsString="0" containsNumber="1" minValue="0" maxValue="49.88"/>
    </cacheField>
    <cacheField name="yoy_profit_growth" numFmtId="2">
      <sharedItems containsSemiMixedTypes="0" containsString="0" containsNumber="1" minValue="0" maxValue="33.29"/>
    </cacheField>
    <cacheField name="Months (sale_month)" numFmtId="0" databaseField="0">
      <fieldGroup base="0">
        <rangePr groupBy="months" startDate="2022-01-01T02:00:00" endDate="2023-09-01T03:00:00"/>
        <groupItems count="14">
          <s v="&lt;1/1/2022"/>
          <s v="Jan"/>
          <s v="Feb"/>
          <s v="Mar"/>
          <s v="Apr"/>
          <s v="May"/>
          <s v="Jun"/>
          <s v="Jul"/>
          <s v="Aug"/>
          <s v="Sep"/>
          <s v="Oct"/>
          <s v="Nov"/>
          <s v="Dec"/>
          <s v="&gt;9/1/2023"/>
        </groupItems>
      </fieldGroup>
    </cacheField>
    <cacheField name="Quarters (sale_month)" numFmtId="0" databaseField="0">
      <fieldGroup base="0">
        <rangePr groupBy="quarters" startDate="2022-01-01T02:00:00" endDate="2023-09-01T03:00:00"/>
        <groupItems count="6">
          <s v="&lt;1/1/2022"/>
          <s v="Qtr1"/>
          <s v="Qtr2"/>
          <s v="Qtr3"/>
          <s v="Qtr4"/>
          <s v="&gt;9/1/2023"/>
        </groupItems>
      </fieldGroup>
    </cacheField>
    <cacheField name="Years (sale_month)" numFmtId="0" databaseField="0">
      <fieldGroup base="0">
        <rangePr groupBy="years" startDate="2022-01-01T02:00:00" endDate="2023-09-01T03:00:00"/>
        <groupItems count="4">
          <s v="&lt;1/1/2022"/>
          <s v="2022"/>
          <s v="2023"/>
          <s v="&gt;9/1/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Baranovskis" refreshedDate="46142.662550578701" createdVersion="8" refreshedVersion="8" minRefreshableVersion="3" recordCount="50" xr:uid="{5C4C0C44-36B3-478A-B22F-BEEF9BFB097A}">
  <cacheSource type="worksheet">
    <worksheetSource name="fct_store_performance"/>
  </cacheSource>
  <cacheFields count="11">
    <cacheField name="store_id" numFmtId="0">
      <sharedItems containsSemiMixedTypes="0" containsString="0" containsNumber="1" containsInteger="1" minValue="1" maxValue="50"/>
    </cacheField>
    <cacheField name="store_name" numFmtId="0">
      <sharedItems/>
    </cacheField>
    <cacheField name="store_location" numFmtId="0">
      <sharedItems/>
    </cacheField>
    <cacheField name="store_city" numFmtId="0">
      <sharedItems count="29">
        <s v="Cuidad de Mexico"/>
        <s v="Guadalajara"/>
        <s v="Monterrey"/>
        <s v="Guanajuato"/>
        <s v="Hermosillo"/>
        <s v="Xalapa"/>
        <s v="Culiacan"/>
        <s v="Saltillo"/>
        <s v="Puebla"/>
        <s v="Chihuahua"/>
        <s v="Morelia"/>
        <s v="Toluca"/>
        <s v="Villahermosa"/>
        <s v="Durango"/>
        <s v="Chilpancingo"/>
        <s v="Ciudad Victoria"/>
        <s v="Santiago"/>
        <s v="Oaxaca"/>
        <s v="Aguascalientes"/>
        <s v="Mexicali"/>
        <s v="Campeche"/>
        <s v="San Luis Potosi"/>
        <s v="Zacatecas"/>
        <s v="Merida"/>
        <s v="Chetumal"/>
        <s v="Tuxtla Gutierrez"/>
        <s v="Pachuca"/>
        <s v="Cuernavaca"/>
        <s v="La Paz"/>
      </sharedItems>
    </cacheField>
    <cacheField name="total_revenue" numFmtId="0">
      <sharedItems containsSemiMixedTypes="0" containsString="0" containsNumber="1" minValue="206055.23" maxValue="554553.43000000005"/>
    </cacheField>
    <cacheField name="total_profit" numFmtId="0">
      <sharedItems containsSemiMixedTypes="0" containsString="0" containsNumber="1" containsInteger="1" minValue="56811" maxValue="169856"/>
    </cacheField>
    <cacheField name="total_units" numFmtId="0">
      <sharedItems containsSemiMixedTypes="0" containsString="0" containsNumber="1" containsInteger="1" minValue="15964" maxValue="42757"/>
    </cacheField>
    <cacheField name="days_open" numFmtId="0">
      <sharedItems containsSemiMixedTypes="0" containsString="0" containsNumber="1" containsInteger="1" minValue="2692" maxValue="11335"/>
    </cacheField>
    <cacheField name="revenue_per_day" numFmtId="0">
      <sharedItems containsSemiMixedTypes="0" containsString="0" containsNumber="1" minValue="23.1" maxValue="133.08000000000001"/>
    </cacheField>
    <cacheField name="profit_per_day" numFmtId="0">
      <sharedItems containsSemiMixedTypes="0" containsString="0" containsNumber="1" minValue="6.13" maxValue="40.76"/>
    </cacheField>
    <cacheField name="units_sold_per_day"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Baranovskis" refreshedDate="46142.667045486109" createdVersion="8" refreshedVersion="8" minRefreshableVersion="3" recordCount="35" xr:uid="{BE460CF1-B988-478C-88D5-24D30100F1EF}">
  <cacheSource type="worksheet">
    <worksheetSource name="fct_product_performance"/>
  </cacheSource>
  <cacheFields count="10">
    <cacheField name="product_id" numFmtId="0">
      <sharedItems containsSemiMixedTypes="0" containsString="0" containsNumber="1" containsInteger="1" minValue="1" maxValue="35"/>
    </cacheField>
    <cacheField name="product_name" numFmtId="0">
      <sharedItems count="35">
        <s v="Lego Bricks"/>
        <s v="Colorbuds"/>
        <s v="Magic Sand"/>
        <s v="Action Figure"/>
        <s v="Rubik's Cube"/>
        <s v="Deck Of Cards"/>
        <s v="Splash Balls"/>
        <s v="Nerf Gun"/>
        <s v="Animal Figures"/>
        <s v="Dart Gun"/>
        <s v="Kids Makeup Kit"/>
        <s v="Dinosaur Figures"/>
        <s v="Dino Egg"/>
        <s v="Glass Marbles"/>
        <s v="Gamer Headphones"/>
        <s v="Barrel O' Slime"/>
        <s v="Mini Ping Pong Set"/>
        <s v="PlayDoh Can"/>
        <s v="Toy Robot"/>
        <s v="Etch A Sketch"/>
        <s v="PlayDoh Playset"/>
        <s v="Hot Wheels 5-Pack"/>
        <s v="Jenga"/>
        <s v="PlayDoh Toolkit"/>
        <s v="Plush Pony"/>
        <s v="Supersoaker Water Gun"/>
        <s v="Foam Disk Launcher"/>
        <s v="Mr. Potatohead"/>
        <s v="Teddy Bear"/>
        <s v="Monopoly"/>
        <s v="Mini Basketball Hoop"/>
        <s v="Chutes &amp; Ladders"/>
        <s v="Playfoam"/>
        <s v="Classic Dominoes"/>
        <s v="Uno Card Game"/>
      </sharedItems>
    </cacheField>
    <cacheField name="product_category" numFmtId="0">
      <sharedItems/>
    </cacheField>
    <cacheField name="total_revenue" numFmtId="0">
      <sharedItems containsSemiMixedTypes="0" containsString="0" containsNumber="1" minValue="21652.9" maxValue="2388882.63"/>
    </cacheField>
    <cacheField name="total_profit" numFmtId="0">
      <sharedItems containsSemiMixedTypes="0" containsString="0" containsNumber="1" containsInteger="1" minValue="8942" maxValue="834944"/>
    </cacheField>
    <cacheField name="total_units" numFmtId="0">
      <sharedItems containsSemiMixedTypes="0" containsString="0" containsNumber="1" containsInteger="1" minValue="2647" maxValue="104368"/>
    </cacheField>
    <cacheField name="avg_margin" numFmtId="0">
      <sharedItems containsSemiMixedTypes="0" containsString="0" containsNumber="1" minValue="9.1" maxValue="70.069999999999993"/>
    </cacheField>
    <cacheField name="revenue_rank" numFmtId="0">
      <sharedItems containsSemiMixedTypes="0" containsString="0" containsNumber="1" containsInteger="1" minValue="1" maxValue="35"/>
    </cacheField>
    <cacheField name="profit_rank" numFmtId="0">
      <sharedItems containsSemiMixedTypes="0" containsString="0" containsNumber="1" containsInteger="1" minValue="1" maxValue="35"/>
    </cacheField>
    <cacheField name="avg_margin_rank" numFmtId="0">
      <sharedItems containsSemiMixedTypes="0" containsString="0" containsNumber="1" containsInteger="1" minValue="1" maxValue="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n v="2022"/>
    <n v="542554.91"/>
    <n v="167126"/>
    <n v="38009"/>
    <n v="31.08"/>
    <n v="0"/>
    <n v="0"/>
    <n v="0"/>
    <n v="0"/>
  </r>
  <r>
    <x v="1"/>
    <n v="2022"/>
    <n v="541351.65"/>
    <n v="161861"/>
    <n v="36935"/>
    <n v="31.31"/>
    <n v="0"/>
    <n v="0"/>
    <n v="0"/>
    <n v="0"/>
  </r>
  <r>
    <x v="2"/>
    <n v="2022"/>
    <n v="589485.18999999994"/>
    <n v="173992"/>
    <n v="39981"/>
    <n v="31.48"/>
    <n v="0"/>
    <n v="0"/>
    <n v="0"/>
    <n v="0"/>
  </r>
  <r>
    <x v="3"/>
    <n v="2022"/>
    <n v="681072.98"/>
    <n v="190099"/>
    <n v="47102"/>
    <n v="30.28"/>
    <n v="0"/>
    <n v="0"/>
    <n v="0"/>
    <n v="0"/>
  </r>
  <r>
    <x v="4"/>
    <n v="2022"/>
    <n v="672369.9"/>
    <n v="186894"/>
    <n v="46910"/>
    <n v="29.93"/>
    <n v="0"/>
    <n v="0"/>
    <n v="0"/>
    <n v="0"/>
  </r>
  <r>
    <x v="5"/>
    <n v="2022"/>
    <n v="661980.22"/>
    <n v="189815"/>
    <n v="47178"/>
    <n v="31.44"/>
    <n v="0"/>
    <n v="0"/>
    <n v="0"/>
    <n v="0"/>
  </r>
  <r>
    <x v="6"/>
    <n v="2022"/>
    <n v="556034.23"/>
    <n v="176922"/>
    <n v="46177"/>
    <n v="32.83"/>
    <n v="0"/>
    <n v="0"/>
    <n v="0"/>
    <n v="0"/>
  </r>
  <r>
    <x v="7"/>
    <n v="2022"/>
    <n v="489422.73"/>
    <n v="158931"/>
    <n v="39927"/>
    <n v="33.479999999999997"/>
    <n v="0"/>
    <n v="0"/>
    <n v="0"/>
    <n v="0"/>
  </r>
  <r>
    <x v="8"/>
    <n v="2022"/>
    <n v="585844.04"/>
    <n v="166397"/>
    <n v="42196"/>
    <n v="32.97"/>
    <n v="0"/>
    <n v="0"/>
    <n v="0"/>
    <n v="0"/>
  </r>
  <r>
    <x v="9"/>
    <n v="2022"/>
    <n v="623874.39"/>
    <n v="178799"/>
    <n v="47861"/>
    <n v="33.47"/>
    <n v="0"/>
    <n v="0"/>
    <n v="0"/>
    <n v="0"/>
  </r>
  <r>
    <x v="10"/>
    <n v="2022"/>
    <n v="661304.15"/>
    <n v="192873"/>
    <n v="51185"/>
    <n v="33.51"/>
    <n v="0"/>
    <n v="0"/>
    <n v="0"/>
    <n v="0"/>
  </r>
  <r>
    <x v="11"/>
    <n v="2022"/>
    <n v="877203.69"/>
    <n v="246078"/>
    <n v="66031"/>
    <n v="32.47"/>
    <n v="0"/>
    <n v="0"/>
    <n v="0"/>
    <n v="0"/>
  </r>
  <r>
    <x v="12"/>
    <n v="2023"/>
    <n v="747196.22"/>
    <n v="205074"/>
    <n v="56478"/>
    <n v="31.94"/>
    <s v="542554.91"/>
    <s v="167126.00"/>
    <n v="37.72"/>
    <n v="22.71"/>
  </r>
  <r>
    <x v="13"/>
    <n v="2023"/>
    <n v="722632.19"/>
    <n v="189314"/>
    <n v="54581"/>
    <n v="30.98"/>
    <s v="541351.65"/>
    <s v="161861.00"/>
    <n v="33.49"/>
    <n v="16.96"/>
  </r>
  <r>
    <x v="14"/>
    <n v="2023"/>
    <n v="883515.64"/>
    <n v="231909"/>
    <n v="69336"/>
    <n v="30.44"/>
    <s v="589485.19"/>
    <s v="173992.00"/>
    <n v="49.88"/>
    <n v="33.29"/>
  </r>
  <r>
    <x v="15"/>
    <n v="2023"/>
    <n v="827691.07"/>
    <n v="215096"/>
    <n v="65593"/>
    <n v="30.15"/>
    <s v="681072.98"/>
    <s v="190099.00"/>
    <n v="21.53"/>
    <n v="13.15"/>
  </r>
  <r>
    <x v="16"/>
    <n v="2023"/>
    <n v="825319.49"/>
    <n v="210347"/>
    <n v="63851"/>
    <n v="29.59"/>
    <s v="672369.90"/>
    <s v="186894.00"/>
    <n v="22.75"/>
    <n v="12.55"/>
  </r>
  <r>
    <x v="17"/>
    <n v="2023"/>
    <n v="808299.25"/>
    <n v="207212"/>
    <n v="64275"/>
    <n v="29.83"/>
    <s v="661980.22"/>
    <s v="189815.00"/>
    <n v="22.1"/>
    <n v="9.17"/>
  </r>
  <r>
    <x v="18"/>
    <n v="2023"/>
    <n v="828348.86"/>
    <n v="209807"/>
    <n v="63614"/>
    <n v="29.51"/>
    <s v="556034.23"/>
    <s v="176922.00"/>
    <n v="48.97"/>
    <n v="18.59"/>
  </r>
  <r>
    <x v="19"/>
    <n v="2023"/>
    <n v="660877.06999999995"/>
    <n v="175038"/>
    <n v="51193"/>
    <n v="30.15"/>
    <s v="489422.73"/>
    <s v="158931.00"/>
    <n v="35.03"/>
    <n v="10.130000000000001"/>
  </r>
  <r>
    <x v="20"/>
    <n v="2023"/>
    <n v="658194.48"/>
    <n v="180445"/>
    <n v="52152"/>
    <n v="31.2"/>
    <s v="585844.04"/>
    <s v="166397.00"/>
    <n v="12.35"/>
    <n v="8.4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31"/>
    <s v="Maven Toys Ciudad de Mexico 2"/>
    <s v="Airport"/>
    <x v="0"/>
    <n v="554553.43000000005"/>
    <n v="169856"/>
    <n v="42757"/>
    <n v="4167"/>
    <n v="133.08000000000001"/>
    <n v="40.76"/>
    <n v="10"/>
  </r>
  <r>
    <n v="46"/>
    <s v="Maven Toys Guadalajara 4"/>
    <s v="Downtown"/>
    <x v="1"/>
    <n v="348466.64"/>
    <n v="102178"/>
    <n v="24136"/>
    <n v="2892"/>
    <n v="120.49"/>
    <n v="35.33"/>
    <n v="8"/>
  </r>
  <r>
    <n v="47"/>
    <s v="Maven Toys Monterrey 4"/>
    <s v="Commercial"/>
    <x v="2"/>
    <n v="325073.5"/>
    <n v="79339"/>
    <n v="22450"/>
    <n v="2871"/>
    <n v="113.23"/>
    <n v="27.63"/>
    <n v="7"/>
  </r>
  <r>
    <n v="45"/>
    <s v="Maven Toys Ciudad de Mexico 4"/>
    <s v="Commercial"/>
    <x v="0"/>
    <n v="323957.71000000002"/>
    <n v="90385"/>
    <n v="22729"/>
    <n v="3024"/>
    <n v="107.13"/>
    <n v="29.89"/>
    <n v="7"/>
  </r>
  <r>
    <n v="30"/>
    <s v="Maven Toys Guadalajara 3"/>
    <s v="Airport"/>
    <x v="1"/>
    <n v="449354.91"/>
    <n v="121571"/>
    <n v="31609"/>
    <n v="4364"/>
    <n v="102.97"/>
    <n v="27.86"/>
    <n v="7"/>
  </r>
  <r>
    <n v="50"/>
    <s v="Maven Toys Guanajuato 3"/>
    <s v="Residential"/>
    <x v="3"/>
    <n v="276212.56"/>
    <n v="67495"/>
    <n v="18444"/>
    <n v="2692"/>
    <n v="102.6"/>
    <n v="25.07"/>
    <n v="6"/>
  </r>
  <r>
    <n v="42"/>
    <s v="Maven Toys Hermosillo 3"/>
    <s v="Commercial"/>
    <x v="4"/>
    <n v="344846.64"/>
    <n v="98825"/>
    <n v="23236"/>
    <n v="3383"/>
    <n v="101.94"/>
    <n v="29.21"/>
    <n v="6"/>
  </r>
  <r>
    <n v="39"/>
    <s v="Maven Toys Xalapa 2"/>
    <s v="Downtown"/>
    <x v="5"/>
    <n v="344307.04"/>
    <n v="88637"/>
    <n v="25296"/>
    <n v="3450"/>
    <n v="99.8"/>
    <n v="25.69"/>
    <n v="7"/>
  </r>
  <r>
    <n v="41"/>
    <s v="Maven Toys Hermosillo 2"/>
    <s v="Downtown"/>
    <x v="4"/>
    <n v="323427.02"/>
    <n v="87995"/>
    <n v="23498"/>
    <n v="3409"/>
    <n v="94.87"/>
    <n v="25.81"/>
    <n v="6"/>
  </r>
  <r>
    <n v="37"/>
    <s v="Maven Toys Ciudad de Mexico 3"/>
    <s v="Residential"/>
    <x v="0"/>
    <n v="337424.66"/>
    <n v="94021"/>
    <n v="26634"/>
    <n v="3594"/>
    <n v="93.89"/>
    <n v="26.16"/>
    <n v="7"/>
  </r>
  <r>
    <n v="49"/>
    <s v="Maven Toys Culiacan 1"/>
    <s v="Downtown"/>
    <x v="6"/>
    <n v="251160.91"/>
    <n v="63959"/>
    <n v="19909"/>
    <n v="2700"/>
    <n v="93.02"/>
    <n v="23.69"/>
    <n v="7"/>
  </r>
  <r>
    <n v="48"/>
    <s v="Maven Toys Saltillo 2"/>
    <s v="Commercial"/>
    <x v="7"/>
    <n v="249106.07"/>
    <n v="68996"/>
    <n v="18893"/>
    <n v="2748"/>
    <n v="90.65"/>
    <n v="25.11"/>
    <n v="6"/>
  </r>
  <r>
    <n v="44"/>
    <s v="Maven Toys Puebla 3"/>
    <s v="Residential"/>
    <x v="8"/>
    <n v="267559.55"/>
    <n v="78670"/>
    <n v="19345"/>
    <n v="3200"/>
    <n v="83.61"/>
    <n v="24.58"/>
    <n v="6"/>
  </r>
  <r>
    <n v="38"/>
    <s v="Maven Toys Chihuahua 2"/>
    <s v="Downtown"/>
    <x v="9"/>
    <n v="268704.74"/>
    <n v="77263"/>
    <n v="22326"/>
    <n v="3484"/>
    <n v="77.13"/>
    <n v="22.18"/>
    <n v="6"/>
  </r>
  <r>
    <n v="33"/>
    <s v="Maven Toys Monterrey 3"/>
    <s v="Airport"/>
    <x v="2"/>
    <n v="285814.24"/>
    <n v="86622"/>
    <n v="22076"/>
    <n v="3850"/>
    <n v="74.239999999999995"/>
    <n v="22.5"/>
    <n v="5"/>
  </r>
  <r>
    <n v="36"/>
    <s v="Maven Toys Morelia 1"/>
    <s v="Downtown"/>
    <x v="10"/>
    <n v="273060.05"/>
    <n v="90484"/>
    <n v="20895"/>
    <n v="3744"/>
    <n v="72.930000000000007"/>
    <n v="24.17"/>
    <n v="5"/>
  </r>
  <r>
    <n v="17"/>
    <s v="Maven Toys Toluca 1"/>
    <s v="Downtown"/>
    <x v="11"/>
    <n v="411157.32"/>
    <n v="104612"/>
    <n v="32668"/>
    <n v="5775"/>
    <n v="71.2"/>
    <n v="18.11"/>
    <n v="5"/>
  </r>
  <r>
    <n v="34"/>
    <s v="Maven Toys Villahermosa 1"/>
    <s v="Downtown"/>
    <x v="12"/>
    <n v="258210.66"/>
    <n v="74221"/>
    <n v="20934"/>
    <n v="3768"/>
    <n v="68.53"/>
    <n v="19.7"/>
    <n v="5"/>
  </r>
  <r>
    <n v="43"/>
    <s v="Maven Toys Durango 1"/>
    <s v="Downtown"/>
    <x v="13"/>
    <n v="222318.78"/>
    <n v="62673"/>
    <n v="17422"/>
    <n v="3380"/>
    <n v="65.77"/>
    <n v="18.54"/>
    <n v="5"/>
  </r>
  <r>
    <n v="40"/>
    <s v="Maven Toys Toluca 2"/>
    <s v="Commercial"/>
    <x v="11"/>
    <n v="222364.36"/>
    <n v="58090"/>
    <n v="15964"/>
    <n v="3414"/>
    <n v="65.13"/>
    <n v="17.02"/>
    <n v="4"/>
  </r>
  <r>
    <n v="35"/>
    <s v="Maven Toys Chilpancingo 1"/>
    <s v="Downtown"/>
    <x v="14"/>
    <n v="242539.73"/>
    <n v="66558"/>
    <n v="18327"/>
    <n v="3764"/>
    <n v="64.44"/>
    <n v="17.68"/>
    <n v="4"/>
  </r>
  <r>
    <n v="9"/>
    <s v="Maven Toys Ciudad de Mexico 1"/>
    <s v="Downtown"/>
    <x v="0"/>
    <n v="433556.21"/>
    <n v="111296"/>
    <n v="33479"/>
    <n v="6925"/>
    <n v="62.61"/>
    <n v="16.07"/>
    <n v="4"/>
  </r>
  <r>
    <n v="28"/>
    <s v="Maven Toys Puebla 2"/>
    <s v="Downtown"/>
    <x v="8"/>
    <n v="282616.87"/>
    <n v="75082"/>
    <n v="22413"/>
    <n v="4566"/>
    <n v="61.9"/>
    <n v="16.440000000000001"/>
    <n v="4"/>
  </r>
  <r>
    <n v="25"/>
    <s v="Maven Toys Ciudad Victoria 1"/>
    <s v="Downtown"/>
    <x v="15"/>
    <n v="294803.99"/>
    <n v="83088"/>
    <n v="20501"/>
    <n v="4771"/>
    <n v="61.79"/>
    <n v="17.420000000000002"/>
    <n v="4"/>
  </r>
  <r>
    <n v="29"/>
    <s v="Maven Toys Xalapa 1"/>
    <s v="Commercial"/>
    <x v="5"/>
    <n v="265812.73"/>
    <n v="75083"/>
    <n v="18927"/>
    <n v="4485"/>
    <n v="59.27"/>
    <n v="16.739999999999998"/>
    <n v="4"/>
  </r>
  <r>
    <n v="32"/>
    <s v="Maven Toys Hermosillo 1"/>
    <s v="Residential"/>
    <x v="4"/>
    <n v="235115.18"/>
    <n v="76788"/>
    <n v="20082"/>
    <n v="4048"/>
    <n v="58.08"/>
    <n v="18.97"/>
    <n v="4"/>
  </r>
  <r>
    <n v="22"/>
    <s v="Maven Toys Guanajuato 2"/>
    <s v="Commercial"/>
    <x v="3"/>
    <n v="278926.67"/>
    <n v="79550"/>
    <n v="21133"/>
    <n v="4934"/>
    <n v="56.53"/>
    <n v="16.12"/>
    <n v="4"/>
  </r>
  <r>
    <n v="21"/>
    <s v="Maven Toys Santiago 1"/>
    <s v="Downtown"/>
    <x v="16"/>
    <n v="277598.14"/>
    <n v="72922"/>
    <n v="20286"/>
    <n v="5060"/>
    <n v="54.86"/>
    <n v="14.41"/>
    <n v="4"/>
  </r>
  <r>
    <n v="7"/>
    <s v="Maven Toys Monterrey 2"/>
    <s v="Downtown"/>
    <x v="2"/>
    <n v="372998.82"/>
    <n v="106783"/>
    <n v="28318"/>
    <n v="7220"/>
    <n v="51.66"/>
    <n v="14.79"/>
    <n v="3"/>
  </r>
  <r>
    <n v="14"/>
    <s v="Maven Toys Guanajuato 1"/>
    <s v="Downtown"/>
    <x v="3"/>
    <n v="313916.59999999998"/>
    <n v="88002"/>
    <n v="24740"/>
    <n v="6087"/>
    <n v="51.57"/>
    <n v="14.46"/>
    <n v="4"/>
  </r>
  <r>
    <n v="23"/>
    <s v="Maven Toys Chihuahua 1"/>
    <s v="Commercial"/>
    <x v="9"/>
    <n v="248008.3"/>
    <n v="69605"/>
    <n v="18070"/>
    <n v="4859"/>
    <n v="51.04"/>
    <n v="14.32"/>
    <n v="3"/>
  </r>
  <r>
    <n v="27"/>
    <s v="Maven Toys Oaxaca 1"/>
    <s v="Downtown"/>
    <x v="17"/>
    <n v="242154.36"/>
    <n v="59618"/>
    <n v="18564"/>
    <n v="4747"/>
    <n v="51.01"/>
    <n v="12.56"/>
    <n v="3"/>
  </r>
  <r>
    <n v="24"/>
    <s v="Maven Toys Aguascalientes 1"/>
    <s v="Downtown"/>
    <x v="18"/>
    <n v="239997.35"/>
    <n v="68642"/>
    <n v="17865"/>
    <n v="4810"/>
    <n v="49.9"/>
    <n v="14.27"/>
    <n v="3"/>
  </r>
  <r>
    <n v="19"/>
    <s v="Maven Toys Puebla 1"/>
    <s v="Commercial"/>
    <x v="8"/>
    <n v="258533.87"/>
    <n v="75942"/>
    <n v="19413"/>
    <n v="5402"/>
    <n v="47.86"/>
    <n v="14.06"/>
    <n v="3"/>
  </r>
  <r>
    <n v="13"/>
    <s v="Maven Toys Mexicali 2"/>
    <s v="Downtown"/>
    <x v="19"/>
    <n v="292156.43"/>
    <n v="77842"/>
    <n v="21557"/>
    <n v="6241"/>
    <n v="46.81"/>
    <n v="12.47"/>
    <n v="3"/>
  </r>
  <r>
    <n v="10"/>
    <s v="Maven Toys Campeche 1"/>
    <s v="Downtown"/>
    <x v="20"/>
    <n v="311786.44"/>
    <n v="88248"/>
    <n v="24556"/>
    <n v="6834"/>
    <n v="45.62"/>
    <n v="12.91"/>
    <n v="3"/>
  </r>
  <r>
    <n v="16"/>
    <s v="Maven Toys San Luis Potosi 1"/>
    <s v="Downtown"/>
    <x v="21"/>
    <n v="263389.65000000002"/>
    <n v="68880"/>
    <n v="19635"/>
    <n v="5979"/>
    <n v="44.05"/>
    <n v="11.52"/>
    <n v="3"/>
  </r>
  <r>
    <n v="20"/>
    <s v="Maven Toys Zacatecas 1"/>
    <s v="Downtown"/>
    <x v="22"/>
    <n v="229983.04"/>
    <n v="59160"/>
    <n v="17196"/>
    <n v="5238"/>
    <n v="43.91"/>
    <n v="11.29"/>
    <n v="3"/>
  </r>
  <r>
    <n v="26"/>
    <s v="Maven Toys Campeche 2"/>
    <s v="Commercial"/>
    <x v="20"/>
    <n v="206055.23"/>
    <n v="58091"/>
    <n v="16277"/>
    <n v="4764"/>
    <n v="43.25"/>
    <n v="12.19"/>
    <n v="3"/>
  </r>
  <r>
    <n v="18"/>
    <s v="Maven Toys Merida 1"/>
    <s v="Downtown"/>
    <x v="23"/>
    <n v="232097.72"/>
    <n v="64399"/>
    <n v="18328"/>
    <n v="5518"/>
    <n v="42.06"/>
    <n v="11.67"/>
    <n v="3"/>
  </r>
  <r>
    <n v="12"/>
    <s v="Maven Toys Chetumal 1"/>
    <s v="Downtown"/>
    <x v="24"/>
    <n v="258919.35"/>
    <n v="67940"/>
    <n v="18965"/>
    <n v="6358"/>
    <n v="40.72"/>
    <n v="10.69"/>
    <n v="2"/>
  </r>
  <r>
    <n v="6"/>
    <s v="Maven Toys Mexicali 1"/>
    <s v="Commercial"/>
    <x v="19"/>
    <n v="294019.42"/>
    <n v="97206"/>
    <n v="22858"/>
    <n v="7232"/>
    <n v="40.659999999999997"/>
    <n v="13.44"/>
    <n v="3"/>
  </r>
  <r>
    <n v="4"/>
    <s v="Maven Toys Saltillo 1"/>
    <s v="Downtown"/>
    <x v="7"/>
    <n v="330408.90000000002"/>
    <n v="94252"/>
    <n v="24010"/>
    <n v="8674"/>
    <n v="38.090000000000003"/>
    <n v="10.87"/>
    <n v="2"/>
  </r>
  <r>
    <n v="15"/>
    <s v="Maven Toys Tuxtla Gutierrez 1"/>
    <s v="Downtown"/>
    <x v="25"/>
    <n v="229698.27"/>
    <n v="65787"/>
    <n v="19773"/>
    <n v="6054"/>
    <n v="37.94"/>
    <n v="10.87"/>
    <n v="3"/>
  </r>
  <r>
    <n v="8"/>
    <s v="Maven Toys Pachuca 1"/>
    <s v="Downtown"/>
    <x v="26"/>
    <n v="237676.15"/>
    <n v="63989"/>
    <n v="19185"/>
    <n v="6926"/>
    <n v="34.32"/>
    <n v="9.24"/>
    <n v="2"/>
  </r>
  <r>
    <n v="11"/>
    <s v="Maven Toys Cuernavaca 1"/>
    <s v="Downtown"/>
    <x v="27"/>
    <n v="221587.26"/>
    <n v="56811"/>
    <n v="17074"/>
    <n v="6739"/>
    <n v="32.880000000000003"/>
    <n v="8.43"/>
    <n v="2"/>
  </r>
  <r>
    <n v="3"/>
    <s v="Maven Toys Guadalajara 2"/>
    <s v="Commercial"/>
    <x v="1"/>
    <n v="262435.02"/>
    <n v="75752"/>
    <n v="20698"/>
    <n v="8679"/>
    <n v="30.24"/>
    <n v="8.73"/>
    <n v="2"/>
  </r>
  <r>
    <n v="2"/>
    <s v="Maven Toys Monterrey 1"/>
    <s v="Residential"/>
    <x v="2"/>
    <n v="277959.14"/>
    <n v="73985"/>
    <n v="20886"/>
    <n v="10384"/>
    <n v="26.77"/>
    <n v="7.12"/>
    <n v="2"/>
  </r>
  <r>
    <n v="5"/>
    <s v="Maven Toys La Paz 1"/>
    <s v="Downtown"/>
    <x v="28"/>
    <n v="210897.83"/>
    <n v="57407"/>
    <n v="16217"/>
    <n v="8158"/>
    <n v="25.85"/>
    <n v="7.04"/>
    <n v="1"/>
  </r>
  <r>
    <n v="1"/>
    <s v="Maven Toys Guadalajara 1"/>
    <s v="Residential"/>
    <x v="1"/>
    <n v="261842.89"/>
    <n v="69429"/>
    <n v="20011"/>
    <n v="11335"/>
    <n v="23.1"/>
    <n v="6.13"/>
    <n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n v="18"/>
    <x v="0"/>
    <s v="Toys"/>
    <n v="2388882.63"/>
    <n v="298685"/>
    <n v="59737"/>
    <n v="12.5"/>
    <n v="1"/>
    <n v="3"/>
    <n v="32"/>
  </r>
  <r>
    <n v="6"/>
    <x v="1"/>
    <s v="Electronics"/>
    <n v="1564476.32"/>
    <n v="834944"/>
    <n v="104368"/>
    <n v="53.37"/>
    <n v="2"/>
    <n v="1"/>
    <n v="5"/>
  </r>
  <r>
    <n v="19"/>
    <x v="2"/>
    <s v="Art &amp; Crafts"/>
    <n v="968962.02"/>
    <n v="121196"/>
    <n v="60598"/>
    <n v="12.51"/>
    <n v="3"/>
    <n v="11"/>
    <n v="31"/>
  </r>
  <r>
    <n v="1"/>
    <x v="3"/>
    <s v="Toys"/>
    <n v="926748.42"/>
    <n v="347748"/>
    <n v="57958"/>
    <n v="37.520000000000003"/>
    <n v="4"/>
    <n v="2"/>
    <n v="12"/>
  </r>
  <r>
    <n v="30"/>
    <x v="4"/>
    <s v="Games"/>
    <n v="912983.28"/>
    <n v="91344"/>
    <n v="45672"/>
    <n v="10.01"/>
    <n v="5"/>
    <n v="18"/>
    <n v="34"/>
  </r>
  <r>
    <n v="8"/>
    <x v="5"/>
    <s v="Games"/>
    <n v="587397.66"/>
    <n v="252102"/>
    <n v="84034"/>
    <n v="42.92"/>
    <n v="6"/>
    <n v="4"/>
    <n v="11"/>
  </r>
  <r>
    <n v="31"/>
    <x v="6"/>
    <s v="Sports &amp; Outdoors"/>
    <n v="541629.52"/>
    <n v="60248"/>
    <n v="60248"/>
    <n v="11.12"/>
    <n v="7"/>
    <n v="20"/>
    <n v="33"/>
  </r>
  <r>
    <n v="24"/>
    <x v="7"/>
    <s v="Sports &amp; Outdoors"/>
    <n v="530594.56999999995"/>
    <n v="132715"/>
    <n v="26543"/>
    <n v="25.01"/>
    <n v="8"/>
    <n v="8"/>
    <n v="22"/>
  </r>
  <r>
    <n v="2"/>
    <x v="8"/>
    <s v="Toys"/>
    <n v="507766.11"/>
    <n v="117267"/>
    <n v="39089"/>
    <n v="23.09"/>
    <n v="9"/>
    <n v="12"/>
    <n v="23"/>
  </r>
  <r>
    <n v="7"/>
    <x v="9"/>
    <s v="Sports &amp; Outdoors"/>
    <n v="505092.12"/>
    <n v="126352"/>
    <n v="31588"/>
    <n v="25.02"/>
    <n v="10"/>
    <n v="9"/>
    <n v="20"/>
  </r>
  <r>
    <n v="17"/>
    <x v="10"/>
    <s v="Art &amp; Crafts"/>
    <n v="488415.67"/>
    <n v="146598"/>
    <n v="24433"/>
    <n v="30.02"/>
    <n v="11"/>
    <n v="7"/>
    <n v="16"/>
  </r>
  <r>
    <n v="10"/>
    <x v="11"/>
    <s v="Toys"/>
    <n v="434889.88"/>
    <n v="116048"/>
    <n v="29012"/>
    <n v="26.68"/>
    <n v="12"/>
    <n v="13"/>
    <n v="19"/>
  </r>
  <r>
    <n v="9"/>
    <x v="12"/>
    <s v="Toys"/>
    <n v="420213.64"/>
    <n v="38236"/>
    <n v="38236"/>
    <n v="9.1"/>
    <n v="13"/>
    <n v="25"/>
    <n v="35"/>
  </r>
  <r>
    <n v="14"/>
    <x v="13"/>
    <s v="Games"/>
    <n v="412322.82"/>
    <n v="187590"/>
    <n v="37518"/>
    <n v="45.5"/>
    <n v="14"/>
    <n v="5"/>
    <n v="10"/>
  </r>
  <r>
    <n v="13"/>
    <x v="14"/>
    <s v="Electronics"/>
    <n v="376938.42"/>
    <n v="107748"/>
    <n v="17958"/>
    <n v="28.59"/>
    <n v="15"/>
    <n v="14"/>
    <n v="18"/>
  </r>
  <r>
    <n v="3"/>
    <x v="15"/>
    <s v="Art &amp; Crafts"/>
    <n v="365735.37"/>
    <n v="183326"/>
    <n v="91663"/>
    <n v="50.13"/>
    <n v="16"/>
    <n v="6"/>
    <n v="6"/>
  </r>
  <r>
    <n v="21"/>
    <x v="16"/>
    <s v="Sports &amp; Outdoors"/>
    <n v="335703.96"/>
    <n v="100812"/>
    <n v="33604"/>
    <n v="30.03"/>
    <n v="17"/>
    <n v="16"/>
    <n v="15"/>
  </r>
  <r>
    <n v="25"/>
    <x v="17"/>
    <s v="Art &amp; Crafts"/>
    <n v="308352.71999999997"/>
    <n v="103128"/>
    <n v="103128"/>
    <n v="33.44"/>
    <n v="18"/>
    <n v="15"/>
    <n v="13"/>
  </r>
  <r>
    <n v="34"/>
    <x v="18"/>
    <s v="Electronics"/>
    <n v="305356.51"/>
    <n v="58745"/>
    <n v="11749"/>
    <n v="19.239999999999998"/>
    <n v="19"/>
    <n v="21"/>
    <n v="28"/>
  </r>
  <r>
    <n v="11"/>
    <x v="19"/>
    <s v="Art &amp; Crafts"/>
    <n v="255406.32"/>
    <n v="121680"/>
    <n v="12168"/>
    <n v="47.64"/>
    <n v="20"/>
    <n v="10"/>
    <n v="9"/>
  </r>
  <r>
    <n v="26"/>
    <x v="20"/>
    <s v="Art &amp; Crafts"/>
    <n v="157387.01999999999"/>
    <n v="25192"/>
    <n v="6298"/>
    <n v="16.010000000000002"/>
    <n v="21"/>
    <n v="27"/>
    <n v="29"/>
  </r>
  <r>
    <n v="15"/>
    <x v="21"/>
    <s v="Toys"/>
    <n v="135727.41"/>
    <n v="45318"/>
    <n v="22659"/>
    <n v="33.39"/>
    <n v="22"/>
    <n v="22"/>
    <n v="14"/>
  </r>
  <r>
    <n v="16"/>
    <x v="22"/>
    <s v="Games"/>
    <n v="130409.46"/>
    <n v="91378"/>
    <n v="13054"/>
    <n v="70.069999999999993"/>
    <n v="23"/>
    <n v="17"/>
    <n v="1"/>
  </r>
  <r>
    <n v="27"/>
    <x v="23"/>
    <s v="Art &amp; Crafts"/>
    <n v="115408.72"/>
    <n v="23128"/>
    <n v="23128"/>
    <n v="20.04"/>
    <n v="24"/>
    <n v="28"/>
    <n v="25"/>
  </r>
  <r>
    <n v="29"/>
    <x v="24"/>
    <s v="Toys"/>
    <n v="109705.12"/>
    <n v="60368"/>
    <n v="5488"/>
    <n v="55.03"/>
    <n v="25"/>
    <n v="19"/>
    <n v="4"/>
  </r>
  <r>
    <n v="32"/>
    <x v="25"/>
    <s v="Sports &amp; Outdoors"/>
    <n v="101827.07"/>
    <n v="20379"/>
    <n v="6793"/>
    <n v="20.010000000000002"/>
    <n v="26"/>
    <n v="30"/>
    <n v="27"/>
  </r>
  <r>
    <n v="12"/>
    <x v="26"/>
    <s v="Sports &amp; Outdoors"/>
    <n v="91363.8"/>
    <n v="22860"/>
    <n v="7620"/>
    <n v="25.02"/>
    <n v="27"/>
    <n v="29"/>
    <n v="20"/>
  </r>
  <r>
    <n v="23"/>
    <x v="27"/>
    <s v="Toys"/>
    <n v="85963.95"/>
    <n v="43025"/>
    <n v="8605"/>
    <n v="50.05"/>
    <n v="28"/>
    <n v="23"/>
    <n v="8"/>
  </r>
  <r>
    <n v="33"/>
    <x v="28"/>
    <s v="Toys"/>
    <n v="83343.839999999997"/>
    <n v="12832"/>
    <n v="6416"/>
    <n v="15.4"/>
    <n v="29"/>
    <n v="32"/>
    <n v="30"/>
  </r>
  <r>
    <n v="22"/>
    <x v="29"/>
    <s v="Games"/>
    <n v="67666.149999999994"/>
    <n v="20310"/>
    <n v="3385"/>
    <n v="30.02"/>
    <n v="30"/>
    <n v="31"/>
    <n v="16"/>
  </r>
  <r>
    <n v="20"/>
    <x v="30"/>
    <s v="Sports &amp; Outdoors"/>
    <n v="66148.53"/>
    <n v="42352"/>
    <n v="2647"/>
    <n v="64.03"/>
    <n v="31"/>
    <n v="24"/>
    <n v="2"/>
  </r>
  <r>
    <n v="4"/>
    <x v="31"/>
    <s v="Games"/>
    <n v="49738.71"/>
    <n v="11487"/>
    <n v="3829"/>
    <n v="23.09"/>
    <n v="32"/>
    <n v="33"/>
    <n v="23"/>
  </r>
  <r>
    <n v="28"/>
    <x v="32"/>
    <s v="Art &amp; Crafts"/>
    <n v="45696.42"/>
    <n v="29106"/>
    <n v="4158"/>
    <n v="63.69"/>
    <n v="33"/>
    <n v="26"/>
    <n v="3"/>
  </r>
  <r>
    <n v="5"/>
    <x v="33"/>
    <s v="Games"/>
    <n v="44665.29"/>
    <n v="8942"/>
    <n v="4471"/>
    <n v="20.02"/>
    <n v="34"/>
    <n v="35"/>
    <n v="26"/>
  </r>
  <r>
    <n v="35"/>
    <x v="34"/>
    <s v="Games"/>
    <n v="21652.9"/>
    <n v="10840"/>
    <n v="2710"/>
    <n v="50.06"/>
    <n v="35"/>
    <n v="34"/>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3C6739-75D2-441E-A109-9B8D8662011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C14" firstHeaderRow="0" firstDataRow="1" firstDataCol="1"/>
  <pivotFields count="13">
    <pivotField axis="axisRow" numFmtId="22"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showAll="0"/>
    <pivotField showAll="0"/>
    <pivotField showAll="0"/>
    <pivotField dataField="1"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0"/>
    <field x="0"/>
  </rowFields>
  <rowItems count="13">
    <i>
      <x v="1"/>
    </i>
    <i>
      <x v="2"/>
    </i>
    <i>
      <x v="3"/>
    </i>
    <i>
      <x v="4"/>
    </i>
    <i>
      <x v="5"/>
    </i>
    <i>
      <x v="6"/>
    </i>
    <i>
      <x v="7"/>
    </i>
    <i>
      <x v="8"/>
    </i>
    <i>
      <x v="9"/>
    </i>
    <i>
      <x v="10"/>
    </i>
    <i>
      <x v="11"/>
    </i>
    <i>
      <x v="12"/>
    </i>
    <i t="grand">
      <x/>
    </i>
  </rowItems>
  <colFields count="1">
    <field x="-2"/>
  </colFields>
  <colItems count="2">
    <i>
      <x/>
    </i>
    <i i="1">
      <x v="1"/>
    </i>
  </colItems>
  <dataFields count="2">
    <dataField name="Sum of yoy_revenue_growth" fld="8" baseField="0" baseItem="0"/>
    <dataField name="Sum of yoy_profit_growth" fld="9" baseField="0"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0CA55E-2ADD-4690-AE3D-D17C670F4925}"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12" firstHeaderRow="1" firstDataRow="1" firstDataCol="1"/>
  <pivotFields count="10">
    <pivotField showAll="0"/>
    <pivotField axis="axisRow" showAll="0" measureFilter="1" sortType="ascending">
      <items count="36">
        <item x="3"/>
        <item x="8"/>
        <item x="15"/>
        <item x="31"/>
        <item x="33"/>
        <item x="1"/>
        <item x="9"/>
        <item x="5"/>
        <item x="12"/>
        <item x="11"/>
        <item x="19"/>
        <item x="26"/>
        <item x="14"/>
        <item x="13"/>
        <item x="21"/>
        <item x="22"/>
        <item x="10"/>
        <item x="0"/>
        <item x="2"/>
        <item x="30"/>
        <item x="16"/>
        <item x="29"/>
        <item x="27"/>
        <item x="7"/>
        <item x="17"/>
        <item x="20"/>
        <item x="23"/>
        <item x="32"/>
        <item x="24"/>
        <item x="4"/>
        <item x="6"/>
        <item x="25"/>
        <item x="28"/>
        <item x="18"/>
        <item x="3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s>
  <rowFields count="1">
    <field x="1"/>
  </rowFields>
  <rowItems count="11">
    <i>
      <x v="13"/>
    </i>
    <i>
      <x v="10"/>
    </i>
    <i>
      <x v="22"/>
    </i>
    <i>
      <x v="34"/>
    </i>
    <i>
      <x v="2"/>
    </i>
    <i>
      <x v="5"/>
    </i>
    <i>
      <x v="28"/>
    </i>
    <i>
      <x v="27"/>
    </i>
    <i>
      <x v="19"/>
    </i>
    <i>
      <x v="15"/>
    </i>
    <i t="grand">
      <x/>
    </i>
  </rowItems>
  <colItems count="1">
    <i/>
  </colItems>
  <dataFields count="1">
    <dataField name="Sum of avg_margin" fld="6"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86C9E0-C132-4119-9476-B2DFDF9B631B}"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C12" firstHeaderRow="0" firstDataRow="1" firstDataCol="1"/>
  <pivotFields count="10">
    <pivotField showAll="0"/>
    <pivotField axis="axisRow" showAll="0" measureFilter="1" sortType="descending">
      <items count="36">
        <item x="3"/>
        <item x="8"/>
        <item x="15"/>
        <item x="31"/>
        <item x="33"/>
        <item x="1"/>
        <item x="9"/>
        <item x="5"/>
        <item x="12"/>
        <item x="11"/>
        <item x="19"/>
        <item x="26"/>
        <item x="14"/>
        <item x="13"/>
        <item x="21"/>
        <item x="22"/>
        <item x="10"/>
        <item x="0"/>
        <item x="2"/>
        <item x="30"/>
        <item x="16"/>
        <item x="29"/>
        <item x="27"/>
        <item x="7"/>
        <item x="17"/>
        <item x="20"/>
        <item x="23"/>
        <item x="32"/>
        <item x="24"/>
        <item x="4"/>
        <item x="6"/>
        <item x="25"/>
        <item x="28"/>
        <item x="18"/>
        <item x="34"/>
        <item t="default"/>
      </items>
      <autoSortScope>
        <pivotArea dataOnly="0" outline="0" fieldPosition="0">
          <references count="1">
            <reference field="4294967294" count="1" selected="0">
              <x v="0"/>
            </reference>
          </references>
        </pivotArea>
      </autoSortScope>
    </pivotField>
    <pivotField showAll="0"/>
    <pivotField dataField="1" showAll="0"/>
    <pivotField dataField="1" showAll="0"/>
    <pivotField showAll="0"/>
    <pivotField showAll="0"/>
    <pivotField showAll="0"/>
    <pivotField showAll="0"/>
    <pivotField showAll="0"/>
  </pivotFields>
  <rowFields count="1">
    <field x="1"/>
  </rowFields>
  <rowItems count="11">
    <i>
      <x v="17"/>
    </i>
    <i>
      <x v="5"/>
    </i>
    <i>
      <x v="18"/>
    </i>
    <i>
      <x/>
    </i>
    <i>
      <x v="29"/>
    </i>
    <i>
      <x v="7"/>
    </i>
    <i>
      <x v="30"/>
    </i>
    <i>
      <x v="23"/>
    </i>
    <i>
      <x v="1"/>
    </i>
    <i>
      <x v="6"/>
    </i>
    <i t="grand">
      <x/>
    </i>
  </rowItems>
  <colFields count="1">
    <field x="-2"/>
  </colFields>
  <colItems count="2">
    <i>
      <x/>
    </i>
    <i i="1">
      <x v="1"/>
    </i>
  </colItems>
  <dataFields count="2">
    <dataField name="Sum of total_revenue" fld="3" baseField="0" baseItem="0"/>
    <dataField name="Sum of total_profit" fld="4"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E3A17D-E0C0-4200-ACEA-2B67229C4B6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C12" firstHeaderRow="0" firstDataRow="1" firstDataCol="1"/>
  <pivotFields count="11">
    <pivotField showAll="0"/>
    <pivotField showAll="0"/>
    <pivotField showAll="0"/>
    <pivotField axis="axisRow" showAll="0" measureFilter="1" sortType="descending">
      <items count="30">
        <item x="18"/>
        <item x="20"/>
        <item x="24"/>
        <item x="9"/>
        <item x="14"/>
        <item x="15"/>
        <item x="27"/>
        <item x="0"/>
        <item x="6"/>
        <item x="13"/>
        <item x="1"/>
        <item x="3"/>
        <item x="4"/>
        <item x="28"/>
        <item x="23"/>
        <item x="19"/>
        <item x="2"/>
        <item x="10"/>
        <item x="17"/>
        <item x="26"/>
        <item x="8"/>
        <item x="7"/>
        <item x="21"/>
        <item x="16"/>
        <item x="11"/>
        <item x="25"/>
        <item x="12"/>
        <item x="5"/>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dataField="1" showAll="0"/>
    <pivotField showAll="0"/>
  </pivotFields>
  <rowFields count="1">
    <field x="3"/>
  </rowFields>
  <rowItems count="11">
    <i>
      <x v="7"/>
    </i>
    <i>
      <x v="10"/>
    </i>
    <i>
      <x v="16"/>
    </i>
    <i>
      <x v="12"/>
    </i>
    <i>
      <x v="11"/>
    </i>
    <i>
      <x v="20"/>
    </i>
    <i>
      <x v="27"/>
    </i>
    <i>
      <x v="24"/>
    </i>
    <i>
      <x v="21"/>
    </i>
    <i>
      <x v="3"/>
    </i>
    <i t="grand">
      <x/>
    </i>
  </rowItems>
  <colFields count="1">
    <field x="-2"/>
  </colFields>
  <colItems count="2">
    <i>
      <x/>
    </i>
    <i i="1">
      <x v="1"/>
    </i>
  </colItems>
  <dataFields count="2">
    <dataField name="Sum of revenue_per_day" fld="8" baseField="0" baseItem="0"/>
    <dataField name="Sum of profit_per_day" fld="9"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DF203EF-AD3F-4784-88DB-D67109867A17}" autoFormatId="16" applyNumberFormats="0" applyBorderFormats="0" applyFontFormats="0" applyPatternFormats="0" applyAlignmentFormats="0" applyWidthHeightFormats="0">
  <queryTableRefresh nextId="11">
    <queryTableFields count="10">
      <queryTableField id="1" name="sale_month" tableColumnId="1"/>
      <queryTableField id="2" name="sale_year" tableColumnId="2"/>
      <queryTableField id="3" name="total_revenue" tableColumnId="3"/>
      <queryTableField id="4" name="total_profit" tableColumnId="4"/>
      <queryTableField id="5" name="total_units" tableColumnId="5"/>
      <queryTableField id="6" name="avg_margin" tableColumnId="6"/>
      <queryTableField id="7" name="prev_year_revenue" tableColumnId="7"/>
      <queryTableField id="8" name="prev_year_profit" tableColumnId="8"/>
      <queryTableField id="9" name="yoy_revenue_growth" tableColumnId="9"/>
      <queryTableField id="10" name="yoy_profit_growth"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F738687-D6BC-481B-BA0A-D501CC3E9827}" autoFormatId="16" applyNumberFormats="0" applyBorderFormats="0" applyFontFormats="0" applyPatternFormats="0" applyAlignmentFormats="0" applyWidthHeightFormats="0">
  <queryTableRefresh nextId="11">
    <queryTableFields count="10">
      <queryTableField id="1" name="product_id" tableColumnId="1"/>
      <queryTableField id="2" name="product_name" tableColumnId="2"/>
      <queryTableField id="3" name="product_category" tableColumnId="3"/>
      <queryTableField id="4" name="total_revenue" tableColumnId="4"/>
      <queryTableField id="5" name="total_profit" tableColumnId="5"/>
      <queryTableField id="6" name="total_units" tableColumnId="6"/>
      <queryTableField id="7" name="avg_margin" tableColumnId="7"/>
      <queryTableField id="8" name="revenue_rank" tableColumnId="8"/>
      <queryTableField id="9" name="profit_rank" tableColumnId="9"/>
      <queryTableField id="10" name="avg_margin_rank"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AD9FC5CF-7A54-4193-AD07-114F2B2BC9C4}" autoFormatId="16" applyNumberFormats="0" applyBorderFormats="0" applyFontFormats="0" applyPatternFormats="0" applyAlignmentFormats="0" applyWidthHeightFormats="0">
  <queryTableRefresh nextId="12">
    <queryTableFields count="11">
      <queryTableField id="1" name="store_id" tableColumnId="1"/>
      <queryTableField id="2" name="store_name" tableColumnId="2"/>
      <queryTableField id="3" name="store_location" tableColumnId="3"/>
      <queryTableField id="4" name="store_city" tableColumnId="4"/>
      <queryTableField id="5" name="total_revenue" tableColumnId="5"/>
      <queryTableField id="6" name="total_profit" tableColumnId="6"/>
      <queryTableField id="7" name="total_units" tableColumnId="7"/>
      <queryTableField id="8" name="days_open" tableColumnId="8"/>
      <queryTableField id="9" name="revenue_per_day" tableColumnId="9"/>
      <queryTableField id="10" name="profit_per_day" tableColumnId="10"/>
      <queryTableField id="11" name="units_sold_per_day"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729347-DF9A-4B31-A1F0-645FD6350F42}" name="fct_monthly_revenue" displayName="fct_monthly_revenue" ref="A1:J22" tableType="queryTable" totalsRowShown="0">
  <autoFilter ref="A1:J22" xr:uid="{88729347-DF9A-4B31-A1F0-645FD6350F42}"/>
  <tableColumns count="10">
    <tableColumn id="1" xr3:uid="{96138FE0-C393-4058-812A-4E4469CDBC5C}" uniqueName="1" name="sale_month" queryTableFieldId="1" dataDxfId="9"/>
    <tableColumn id="2" xr3:uid="{7569CC2B-A652-4CA2-9504-9039B9675CF1}" uniqueName="2" name="sale_year" queryTableFieldId="2"/>
    <tableColumn id="3" xr3:uid="{37627E7C-E3AC-4BEB-9DF3-A0B6381ED3A4}" uniqueName="3" name="total_revenue" queryTableFieldId="3"/>
    <tableColumn id="4" xr3:uid="{32580D6E-C9ED-44CD-9298-4E7FBD33F5B7}" uniqueName="4" name="total_profit" queryTableFieldId="4"/>
    <tableColumn id="5" xr3:uid="{042F23FE-BCF6-492A-8AB6-58CB9849ECF6}" uniqueName="5" name="total_units" queryTableFieldId="5"/>
    <tableColumn id="6" xr3:uid="{9C27022F-BD93-4A75-B7D1-F8A605D5FD12}" uniqueName="6" name="avg_margin" queryTableFieldId="6"/>
    <tableColumn id="7" xr3:uid="{A2086114-DFBB-40EA-AD07-AE07B97647D1}" uniqueName="7" name="prev_year_revenue" queryTableFieldId="7" dataDxfId="8"/>
    <tableColumn id="8" xr3:uid="{F46F2AE3-3840-4C7E-A998-2ED7CCD42CED}" uniqueName="8" name="prev_year_profit" queryTableFieldId="8" dataDxfId="7"/>
    <tableColumn id="9" xr3:uid="{80ED0BC4-AFEC-49E1-A2DA-BDA6D05C9340}" uniqueName="9" name="yoy_revenue_growth" queryTableFieldId="9" dataDxfId="6"/>
    <tableColumn id="10" xr3:uid="{5486F41B-2456-4222-A496-F94F4A474366}" uniqueName="10" name="yoy_profit_growth" queryTableFieldId="10" dataDxf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5F027A-BFE2-47A4-B6A5-1BCE0270D523}" name="fct_product_performance" displayName="fct_product_performance" ref="A1:J36" tableType="queryTable" totalsRowShown="0">
  <autoFilter ref="A1:J36" xr:uid="{F45F027A-BFE2-47A4-B6A5-1BCE0270D523}"/>
  <tableColumns count="10">
    <tableColumn id="1" xr3:uid="{8C1E3971-17AA-4ED5-8BAF-221A742A0DA2}" uniqueName="1" name="product_id" queryTableFieldId="1"/>
    <tableColumn id="2" xr3:uid="{E1EBC0D7-663F-47D0-B578-5D741B02ADB8}" uniqueName="2" name="product_name" queryTableFieldId="2" dataDxfId="4"/>
    <tableColumn id="3" xr3:uid="{5A8B5C8B-0D94-4006-8F28-37911B5E938D}" uniqueName="3" name="product_category" queryTableFieldId="3" dataDxfId="3"/>
    <tableColumn id="4" xr3:uid="{C07CA0F1-3558-43F7-8CC6-293E8960F60F}" uniqueName="4" name="total_revenue" queryTableFieldId="4"/>
    <tableColumn id="5" xr3:uid="{E825653A-6406-4E5D-84F4-82DA89994BBD}" uniqueName="5" name="total_profit" queryTableFieldId="5"/>
    <tableColumn id="6" xr3:uid="{6C036A9D-1287-4C61-A367-9D6A18330077}" uniqueName="6" name="total_units" queryTableFieldId="6"/>
    <tableColumn id="7" xr3:uid="{7C579432-B7EC-4822-92D4-8CBD92B129EF}" uniqueName="7" name="avg_margin" queryTableFieldId="7"/>
    <tableColumn id="8" xr3:uid="{25EF3493-8AEE-40F2-B0AD-4B0102D15BF5}" uniqueName="8" name="revenue_rank" queryTableFieldId="8"/>
    <tableColumn id="9" xr3:uid="{8A56B352-2896-4846-B9F9-8AD8E3E24894}" uniqueName="9" name="profit_rank" queryTableFieldId="9"/>
    <tableColumn id="10" xr3:uid="{0B529A72-29E9-4587-9CD2-989931D6FCC3}" uniqueName="10" name="avg_margin_rank" queryTableFieldId="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1EEDE3-9D56-41E8-A923-72EA65D93253}" name="fct_store_performance" displayName="fct_store_performance" ref="A1:K51" tableType="queryTable" totalsRowShown="0">
  <autoFilter ref="A1:K51" xr:uid="{851EEDE3-9D56-41E8-A923-72EA65D93253}"/>
  <tableColumns count="11">
    <tableColumn id="1" xr3:uid="{24504D56-235B-4F45-8371-1D0FA05E1D32}" uniqueName="1" name="store_id" queryTableFieldId="1"/>
    <tableColumn id="2" xr3:uid="{E3A20F2F-9CF5-4772-AA37-B34303A4CC70}" uniqueName="2" name="store_name" queryTableFieldId="2" dataDxfId="2"/>
    <tableColumn id="3" xr3:uid="{49ED3440-0E42-408D-8922-9417FE6DBE72}" uniqueName="3" name="store_location" queryTableFieldId="3" dataDxfId="1"/>
    <tableColumn id="4" xr3:uid="{7ADD8806-CE5F-452E-8603-CCE35DD3C9DF}" uniqueName="4" name="store_city" queryTableFieldId="4" dataDxfId="0"/>
    <tableColumn id="5" xr3:uid="{3656AC2F-C3C6-4750-A41A-0FD7601092B4}" uniqueName="5" name="total_revenue" queryTableFieldId="5"/>
    <tableColumn id="6" xr3:uid="{660CCBC3-EFF4-4AA3-846E-42A8BF8BF7A0}" uniqueName="6" name="total_profit" queryTableFieldId="6"/>
    <tableColumn id="7" xr3:uid="{90604F2E-3444-45FA-A4FD-67EFA5D26577}" uniqueName="7" name="total_units" queryTableFieldId="7"/>
    <tableColumn id="8" xr3:uid="{88040C25-92AC-4882-8250-57332DAAE5D7}" uniqueName="8" name="days_open" queryTableFieldId="8"/>
    <tableColumn id="9" xr3:uid="{F26859FA-9869-49D0-B277-AAD5205B502B}" uniqueName="9" name="revenue_per_day" queryTableFieldId="9"/>
    <tableColumn id="10" xr3:uid="{3F523E69-D581-457D-B698-C1CEB22384C3}" uniqueName="10" name="profit_per_day" queryTableFieldId="10"/>
    <tableColumn id="11" xr3:uid="{899307DE-14F6-4864-8DB6-37B37AEA5B6A}" uniqueName="11" name="units_sold_per_day" queryTableField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FEF67-89EA-4E78-A411-9F8B4D7B5353}">
  <dimension ref="A1:J22"/>
  <sheetViews>
    <sheetView workbookViewId="0">
      <selection activeCell="A14" sqref="A14:J22"/>
    </sheetView>
  </sheetViews>
  <sheetFormatPr defaultRowHeight="14.4" x14ac:dyDescent="0.3"/>
  <cols>
    <col min="1" max="1" width="13.6640625" bestFit="1" customWidth="1"/>
    <col min="2" max="2" width="11.109375" bestFit="1" customWidth="1"/>
    <col min="3" max="3" width="15" bestFit="1" customWidth="1"/>
    <col min="4" max="4" width="12.77734375" bestFit="1" customWidth="1"/>
    <col min="5" max="5" width="12.21875" bestFit="1" customWidth="1"/>
    <col min="6" max="6" width="13.109375" bestFit="1" customWidth="1"/>
    <col min="7" max="7" width="19.77734375" bestFit="1" customWidth="1"/>
    <col min="8" max="8" width="17.44140625" bestFit="1" customWidth="1"/>
    <col min="9" max="9" width="21.44140625" bestFit="1" customWidth="1"/>
    <col min="10" max="10" width="19.109375" bestFit="1" customWidth="1"/>
  </cols>
  <sheetData>
    <row r="1" spans="1:10" x14ac:dyDescent="0.3">
      <c r="A1" t="s">
        <v>0</v>
      </c>
      <c r="B1" t="s">
        <v>1</v>
      </c>
      <c r="C1" t="s">
        <v>2</v>
      </c>
      <c r="D1" t="s">
        <v>3</v>
      </c>
      <c r="E1" t="s">
        <v>4</v>
      </c>
      <c r="F1" t="s">
        <v>5</v>
      </c>
      <c r="G1" t="s">
        <v>6</v>
      </c>
      <c r="H1" t="s">
        <v>7</v>
      </c>
      <c r="I1" t="s">
        <v>8</v>
      </c>
      <c r="J1" t="s">
        <v>9</v>
      </c>
    </row>
    <row r="2" spans="1:10" x14ac:dyDescent="0.3">
      <c r="A2" s="1">
        <v>44562.083333333336</v>
      </c>
      <c r="B2">
        <v>2022</v>
      </c>
      <c r="C2">
        <v>542554.91</v>
      </c>
      <c r="D2">
        <v>167126</v>
      </c>
      <c r="E2">
        <v>38009</v>
      </c>
      <c r="F2">
        <v>31.08</v>
      </c>
      <c r="G2">
        <v>0</v>
      </c>
      <c r="H2">
        <v>0</v>
      </c>
      <c r="I2" s="4">
        <v>0</v>
      </c>
      <c r="J2" s="4">
        <v>0</v>
      </c>
    </row>
    <row r="3" spans="1:10" x14ac:dyDescent="0.3">
      <c r="A3" s="1">
        <v>44593.083333333336</v>
      </c>
      <c r="B3">
        <v>2022</v>
      </c>
      <c r="C3">
        <v>541351.65</v>
      </c>
      <c r="D3">
        <v>161861</v>
      </c>
      <c r="E3">
        <v>36935</v>
      </c>
      <c r="F3">
        <v>31.31</v>
      </c>
      <c r="G3">
        <v>0</v>
      </c>
      <c r="H3">
        <v>0</v>
      </c>
      <c r="I3" s="4">
        <v>0</v>
      </c>
      <c r="J3" s="4">
        <v>0</v>
      </c>
    </row>
    <row r="4" spans="1:10" x14ac:dyDescent="0.3">
      <c r="A4" s="1">
        <v>44621.083333333336</v>
      </c>
      <c r="B4">
        <v>2022</v>
      </c>
      <c r="C4">
        <v>589485.18999999994</v>
      </c>
      <c r="D4">
        <v>173992</v>
      </c>
      <c r="E4">
        <v>39981</v>
      </c>
      <c r="F4">
        <v>31.48</v>
      </c>
      <c r="G4">
        <v>0</v>
      </c>
      <c r="H4">
        <v>0</v>
      </c>
      <c r="I4" s="4">
        <v>0</v>
      </c>
      <c r="J4" s="4">
        <v>0</v>
      </c>
    </row>
    <row r="5" spans="1:10" x14ac:dyDescent="0.3">
      <c r="A5" s="1">
        <v>44652.125</v>
      </c>
      <c r="B5">
        <v>2022</v>
      </c>
      <c r="C5">
        <v>681072.98</v>
      </c>
      <c r="D5">
        <v>190099</v>
      </c>
      <c r="E5">
        <v>47102</v>
      </c>
      <c r="F5">
        <v>30.28</v>
      </c>
      <c r="G5">
        <v>0</v>
      </c>
      <c r="H5">
        <v>0</v>
      </c>
      <c r="I5" s="4">
        <v>0</v>
      </c>
      <c r="J5" s="4">
        <v>0</v>
      </c>
    </row>
    <row r="6" spans="1:10" x14ac:dyDescent="0.3">
      <c r="A6" s="1">
        <v>44682.125</v>
      </c>
      <c r="B6">
        <v>2022</v>
      </c>
      <c r="C6">
        <v>672369.9</v>
      </c>
      <c r="D6">
        <v>186894</v>
      </c>
      <c r="E6">
        <v>46910</v>
      </c>
      <c r="F6">
        <v>29.93</v>
      </c>
      <c r="G6">
        <v>0</v>
      </c>
      <c r="H6">
        <v>0</v>
      </c>
      <c r="I6" s="4">
        <v>0</v>
      </c>
      <c r="J6" s="4">
        <v>0</v>
      </c>
    </row>
    <row r="7" spans="1:10" x14ac:dyDescent="0.3">
      <c r="A7" s="1">
        <v>44713.125</v>
      </c>
      <c r="B7">
        <v>2022</v>
      </c>
      <c r="C7">
        <v>661980.22</v>
      </c>
      <c r="D7">
        <v>189815</v>
      </c>
      <c r="E7">
        <v>47178</v>
      </c>
      <c r="F7">
        <v>31.44</v>
      </c>
      <c r="G7">
        <v>0</v>
      </c>
      <c r="H7">
        <v>0</v>
      </c>
      <c r="I7" s="4">
        <v>0</v>
      </c>
      <c r="J7" s="4">
        <v>0</v>
      </c>
    </row>
    <row r="8" spans="1:10" x14ac:dyDescent="0.3">
      <c r="A8" s="1">
        <v>44743.125</v>
      </c>
      <c r="B8">
        <v>2022</v>
      </c>
      <c r="C8">
        <v>556034.23</v>
      </c>
      <c r="D8">
        <v>176922</v>
      </c>
      <c r="E8">
        <v>46177</v>
      </c>
      <c r="F8">
        <v>32.83</v>
      </c>
      <c r="G8">
        <v>0</v>
      </c>
      <c r="H8">
        <v>0</v>
      </c>
      <c r="I8" s="4">
        <v>0</v>
      </c>
      <c r="J8" s="4">
        <v>0</v>
      </c>
    </row>
    <row r="9" spans="1:10" x14ac:dyDescent="0.3">
      <c r="A9" s="1">
        <v>44774.125</v>
      </c>
      <c r="B9">
        <v>2022</v>
      </c>
      <c r="C9">
        <v>489422.73</v>
      </c>
      <c r="D9">
        <v>158931</v>
      </c>
      <c r="E9">
        <v>39927</v>
      </c>
      <c r="F9">
        <v>33.479999999999997</v>
      </c>
      <c r="G9">
        <v>0</v>
      </c>
      <c r="H9">
        <v>0</v>
      </c>
      <c r="I9" s="4">
        <v>0</v>
      </c>
      <c r="J9" s="4">
        <v>0</v>
      </c>
    </row>
    <row r="10" spans="1:10" x14ac:dyDescent="0.3">
      <c r="A10" s="1">
        <v>44805.125</v>
      </c>
      <c r="B10">
        <v>2022</v>
      </c>
      <c r="C10">
        <v>585844.04</v>
      </c>
      <c r="D10">
        <v>166397</v>
      </c>
      <c r="E10">
        <v>42196</v>
      </c>
      <c r="F10">
        <v>32.97</v>
      </c>
      <c r="G10">
        <v>0</v>
      </c>
      <c r="H10">
        <v>0</v>
      </c>
      <c r="I10" s="4">
        <v>0</v>
      </c>
      <c r="J10" s="4">
        <v>0</v>
      </c>
    </row>
    <row r="11" spans="1:10" x14ac:dyDescent="0.3">
      <c r="A11" s="1">
        <v>44835.125</v>
      </c>
      <c r="B11">
        <v>2022</v>
      </c>
      <c r="C11">
        <v>623874.39</v>
      </c>
      <c r="D11">
        <v>178799</v>
      </c>
      <c r="E11">
        <v>47861</v>
      </c>
      <c r="F11">
        <v>33.47</v>
      </c>
      <c r="G11">
        <v>0</v>
      </c>
      <c r="H11">
        <v>0</v>
      </c>
      <c r="I11" s="4">
        <v>0</v>
      </c>
      <c r="J11" s="4">
        <v>0</v>
      </c>
    </row>
    <row r="12" spans="1:10" x14ac:dyDescent="0.3">
      <c r="A12" s="1">
        <v>44866.083333333336</v>
      </c>
      <c r="B12">
        <v>2022</v>
      </c>
      <c r="C12">
        <v>661304.15</v>
      </c>
      <c r="D12">
        <v>192873</v>
      </c>
      <c r="E12">
        <v>51185</v>
      </c>
      <c r="F12">
        <v>33.51</v>
      </c>
      <c r="G12">
        <v>0</v>
      </c>
      <c r="H12">
        <v>0</v>
      </c>
      <c r="I12">
        <v>0</v>
      </c>
      <c r="J12" s="4">
        <v>0</v>
      </c>
    </row>
    <row r="13" spans="1:10" x14ac:dyDescent="0.3">
      <c r="A13" s="1">
        <v>44896.083333333336</v>
      </c>
      <c r="B13">
        <v>2022</v>
      </c>
      <c r="C13">
        <v>877203.69</v>
      </c>
      <c r="D13">
        <v>246078</v>
      </c>
      <c r="E13">
        <v>66031</v>
      </c>
      <c r="F13">
        <v>32.47</v>
      </c>
      <c r="G13">
        <v>0</v>
      </c>
      <c r="H13">
        <v>0</v>
      </c>
      <c r="I13" s="4">
        <v>0</v>
      </c>
      <c r="J13" s="4">
        <v>0</v>
      </c>
    </row>
    <row r="14" spans="1:10" x14ac:dyDescent="0.3">
      <c r="A14" s="1">
        <v>44927.083333333336</v>
      </c>
      <c r="B14">
        <v>2023</v>
      </c>
      <c r="C14">
        <v>747196.22</v>
      </c>
      <c r="D14">
        <v>205074</v>
      </c>
      <c r="E14">
        <v>56478</v>
      </c>
      <c r="F14">
        <v>31.94</v>
      </c>
      <c r="G14" t="s">
        <v>10</v>
      </c>
      <c r="H14" t="s">
        <v>11</v>
      </c>
      <c r="I14" s="4">
        <v>37.72</v>
      </c>
      <c r="J14" s="4">
        <v>22.71</v>
      </c>
    </row>
    <row r="15" spans="1:10" x14ac:dyDescent="0.3">
      <c r="A15" s="1">
        <v>44958.083333333336</v>
      </c>
      <c r="B15">
        <v>2023</v>
      </c>
      <c r="C15">
        <v>722632.19</v>
      </c>
      <c r="D15">
        <v>189314</v>
      </c>
      <c r="E15">
        <v>54581</v>
      </c>
      <c r="F15">
        <v>30.98</v>
      </c>
      <c r="G15" t="s">
        <v>12</v>
      </c>
      <c r="H15" t="s">
        <v>13</v>
      </c>
      <c r="I15" s="4">
        <v>33.49</v>
      </c>
      <c r="J15" s="4">
        <v>16.96</v>
      </c>
    </row>
    <row r="16" spans="1:10" x14ac:dyDescent="0.3">
      <c r="A16" s="1">
        <v>44986.083333333336</v>
      </c>
      <c r="B16">
        <v>2023</v>
      </c>
      <c r="C16">
        <v>883515.64</v>
      </c>
      <c r="D16">
        <v>231909</v>
      </c>
      <c r="E16">
        <v>69336</v>
      </c>
      <c r="F16">
        <v>30.44</v>
      </c>
      <c r="G16" t="s">
        <v>14</v>
      </c>
      <c r="H16" t="s">
        <v>15</v>
      </c>
      <c r="I16" s="4">
        <v>49.88</v>
      </c>
      <c r="J16" s="4">
        <v>33.29</v>
      </c>
    </row>
    <row r="17" spans="1:10" x14ac:dyDescent="0.3">
      <c r="A17" s="1">
        <v>45017.125</v>
      </c>
      <c r="B17">
        <v>2023</v>
      </c>
      <c r="C17">
        <v>827691.07</v>
      </c>
      <c r="D17">
        <v>215096</v>
      </c>
      <c r="E17">
        <v>65593</v>
      </c>
      <c r="F17">
        <v>30.15</v>
      </c>
      <c r="G17" t="s">
        <v>16</v>
      </c>
      <c r="H17" t="s">
        <v>17</v>
      </c>
      <c r="I17" s="4">
        <v>21.53</v>
      </c>
      <c r="J17" s="4">
        <v>13.15</v>
      </c>
    </row>
    <row r="18" spans="1:10" x14ac:dyDescent="0.3">
      <c r="A18" s="1">
        <v>45047.125</v>
      </c>
      <c r="B18">
        <v>2023</v>
      </c>
      <c r="C18">
        <v>825319.49</v>
      </c>
      <c r="D18">
        <v>210347</v>
      </c>
      <c r="E18">
        <v>63851</v>
      </c>
      <c r="F18">
        <v>29.59</v>
      </c>
      <c r="G18" t="s">
        <v>18</v>
      </c>
      <c r="H18" t="s">
        <v>19</v>
      </c>
      <c r="I18" s="4">
        <v>22.75</v>
      </c>
      <c r="J18" s="4">
        <v>12.55</v>
      </c>
    </row>
    <row r="19" spans="1:10" x14ac:dyDescent="0.3">
      <c r="A19" s="1">
        <v>45078.125</v>
      </c>
      <c r="B19">
        <v>2023</v>
      </c>
      <c r="C19">
        <v>808299.25</v>
      </c>
      <c r="D19">
        <v>207212</v>
      </c>
      <c r="E19">
        <v>64275</v>
      </c>
      <c r="F19">
        <v>29.83</v>
      </c>
      <c r="G19" t="s">
        <v>20</v>
      </c>
      <c r="H19" t="s">
        <v>21</v>
      </c>
      <c r="I19" s="4">
        <v>22.1</v>
      </c>
      <c r="J19" s="4">
        <v>9.17</v>
      </c>
    </row>
    <row r="20" spans="1:10" x14ac:dyDescent="0.3">
      <c r="A20" s="1">
        <v>45108.125</v>
      </c>
      <c r="B20">
        <v>2023</v>
      </c>
      <c r="C20">
        <v>828348.86</v>
      </c>
      <c r="D20">
        <v>209807</v>
      </c>
      <c r="E20">
        <v>63614</v>
      </c>
      <c r="F20">
        <v>29.51</v>
      </c>
      <c r="G20" t="s">
        <v>22</v>
      </c>
      <c r="H20" t="s">
        <v>23</v>
      </c>
      <c r="I20" s="4">
        <v>48.97</v>
      </c>
      <c r="J20" s="4">
        <v>18.59</v>
      </c>
    </row>
    <row r="21" spans="1:10" x14ac:dyDescent="0.3">
      <c r="A21" s="1">
        <v>45139.125</v>
      </c>
      <c r="B21">
        <v>2023</v>
      </c>
      <c r="C21">
        <v>660877.06999999995</v>
      </c>
      <c r="D21">
        <v>175038</v>
      </c>
      <c r="E21">
        <v>51193</v>
      </c>
      <c r="F21">
        <v>30.15</v>
      </c>
      <c r="G21" t="s">
        <v>24</v>
      </c>
      <c r="H21" t="s">
        <v>25</v>
      </c>
      <c r="I21" s="4">
        <v>35.03</v>
      </c>
      <c r="J21" s="4">
        <v>10.130000000000001</v>
      </c>
    </row>
    <row r="22" spans="1:10" x14ac:dyDescent="0.3">
      <c r="A22" s="1">
        <v>45170.125</v>
      </c>
      <c r="B22">
        <v>2023</v>
      </c>
      <c r="C22">
        <v>658194.48</v>
      </c>
      <c r="D22">
        <v>180445</v>
      </c>
      <c r="E22">
        <v>52152</v>
      </c>
      <c r="F22">
        <v>31.2</v>
      </c>
      <c r="G22" t="s">
        <v>26</v>
      </c>
      <c r="H22" t="s">
        <v>27</v>
      </c>
      <c r="I22" s="4">
        <v>12.35</v>
      </c>
      <c r="J22" s="4">
        <v>8.44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EE706-A827-477D-8916-29D266F6CA24}">
  <dimension ref="A1:C26"/>
  <sheetViews>
    <sheetView workbookViewId="0">
      <selection activeCell="H26" sqref="H26"/>
    </sheetView>
  </sheetViews>
  <sheetFormatPr defaultRowHeight="14.4" x14ac:dyDescent="0.3"/>
  <cols>
    <col min="1" max="1" width="12.5546875" bestFit="1" customWidth="1"/>
    <col min="2" max="2" width="25.88671875" bestFit="1" customWidth="1"/>
    <col min="3" max="3" width="23.5546875" bestFit="1" customWidth="1"/>
  </cols>
  <sheetData>
    <row r="1" spans="1:3" x14ac:dyDescent="0.3">
      <c r="A1" s="2" t="s">
        <v>165</v>
      </c>
      <c r="B1" t="s">
        <v>179</v>
      </c>
      <c r="C1" t="s">
        <v>180</v>
      </c>
    </row>
    <row r="2" spans="1:3" x14ac:dyDescent="0.3">
      <c r="A2" s="3" t="s">
        <v>167</v>
      </c>
      <c r="B2">
        <v>37.72</v>
      </c>
      <c r="C2" s="4">
        <v>22.71</v>
      </c>
    </row>
    <row r="3" spans="1:3" x14ac:dyDescent="0.3">
      <c r="A3" s="3" t="s">
        <v>168</v>
      </c>
      <c r="B3">
        <v>33.49</v>
      </c>
      <c r="C3" s="4">
        <v>16.96</v>
      </c>
    </row>
    <row r="4" spans="1:3" x14ac:dyDescent="0.3">
      <c r="A4" s="3" t="s">
        <v>169</v>
      </c>
      <c r="B4">
        <v>49.88</v>
      </c>
      <c r="C4" s="4">
        <v>33.29</v>
      </c>
    </row>
    <row r="5" spans="1:3" x14ac:dyDescent="0.3">
      <c r="A5" s="3" t="s">
        <v>170</v>
      </c>
      <c r="B5">
        <v>21.53</v>
      </c>
      <c r="C5" s="4">
        <v>13.15</v>
      </c>
    </row>
    <row r="6" spans="1:3" x14ac:dyDescent="0.3">
      <c r="A6" s="3" t="s">
        <v>171</v>
      </c>
      <c r="B6">
        <v>22.75</v>
      </c>
      <c r="C6" s="4">
        <v>12.55</v>
      </c>
    </row>
    <row r="7" spans="1:3" x14ac:dyDescent="0.3">
      <c r="A7" s="3" t="s">
        <v>172</v>
      </c>
      <c r="B7">
        <v>22.1</v>
      </c>
      <c r="C7" s="4">
        <v>9.17</v>
      </c>
    </row>
    <row r="8" spans="1:3" x14ac:dyDescent="0.3">
      <c r="A8" s="3" t="s">
        <v>173</v>
      </c>
      <c r="B8">
        <v>48.97</v>
      </c>
      <c r="C8" s="4">
        <v>18.59</v>
      </c>
    </row>
    <row r="9" spans="1:3" x14ac:dyDescent="0.3">
      <c r="A9" s="3" t="s">
        <v>174</v>
      </c>
      <c r="B9">
        <v>35.03</v>
      </c>
      <c r="C9" s="4">
        <v>10.130000000000001</v>
      </c>
    </row>
    <row r="10" spans="1:3" x14ac:dyDescent="0.3">
      <c r="A10" s="3" t="s">
        <v>175</v>
      </c>
      <c r="B10">
        <v>12.35</v>
      </c>
      <c r="C10" s="4">
        <v>8.44</v>
      </c>
    </row>
    <row r="11" spans="1:3" x14ac:dyDescent="0.3">
      <c r="A11" s="3" t="s">
        <v>176</v>
      </c>
      <c r="B11">
        <v>0</v>
      </c>
      <c r="C11" s="4">
        <v>0</v>
      </c>
    </row>
    <row r="12" spans="1:3" x14ac:dyDescent="0.3">
      <c r="A12" s="3" t="s">
        <v>177</v>
      </c>
      <c r="B12">
        <v>0</v>
      </c>
      <c r="C12" s="4">
        <v>0</v>
      </c>
    </row>
    <row r="13" spans="1:3" x14ac:dyDescent="0.3">
      <c r="A13" s="3" t="s">
        <v>178</v>
      </c>
      <c r="B13">
        <v>0</v>
      </c>
      <c r="C13" s="4">
        <v>0</v>
      </c>
    </row>
    <row r="14" spans="1:3" x14ac:dyDescent="0.3">
      <c r="A14" s="3" t="s">
        <v>166</v>
      </c>
      <c r="B14">
        <v>283.82000000000005</v>
      </c>
      <c r="C14" s="4">
        <v>144.99</v>
      </c>
    </row>
    <row r="26" spans="2:3" x14ac:dyDescent="0.3">
      <c r="B26" t="s">
        <v>181</v>
      </c>
      <c r="C26" t="s">
        <v>182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EA0CC-C0D7-47B5-9105-AAC83D0070AC}">
  <dimension ref="A1:B23"/>
  <sheetViews>
    <sheetView workbookViewId="0">
      <selection activeCell="B23" sqref="B23"/>
    </sheetView>
  </sheetViews>
  <sheetFormatPr defaultRowHeight="14.4" x14ac:dyDescent="0.3"/>
  <cols>
    <col min="1" max="1" width="18.44140625" bestFit="1" customWidth="1"/>
    <col min="2" max="4" width="17.5546875" bestFit="1" customWidth="1"/>
  </cols>
  <sheetData>
    <row r="1" spans="1:2" x14ac:dyDescent="0.3">
      <c r="A1" s="2" t="s">
        <v>165</v>
      </c>
      <c r="B1" t="s">
        <v>188</v>
      </c>
    </row>
    <row r="2" spans="1:2" x14ac:dyDescent="0.3">
      <c r="A2" s="3" t="s">
        <v>52</v>
      </c>
      <c r="B2">
        <v>45.5</v>
      </c>
    </row>
    <row r="3" spans="1:2" x14ac:dyDescent="0.3">
      <c r="A3" s="3" t="s">
        <v>58</v>
      </c>
      <c r="B3">
        <v>47.64</v>
      </c>
    </row>
    <row r="4" spans="1:2" x14ac:dyDescent="0.3">
      <c r="A4" s="3" t="s">
        <v>66</v>
      </c>
      <c r="B4">
        <v>50.05</v>
      </c>
    </row>
    <row r="5" spans="1:2" x14ac:dyDescent="0.3">
      <c r="A5" s="3" t="s">
        <v>73</v>
      </c>
      <c r="B5">
        <v>50.06</v>
      </c>
    </row>
    <row r="6" spans="1:2" x14ac:dyDescent="0.3">
      <c r="A6" s="3" t="s">
        <v>54</v>
      </c>
      <c r="B6">
        <v>50.13</v>
      </c>
    </row>
    <row r="7" spans="1:2" x14ac:dyDescent="0.3">
      <c r="A7" s="3" t="s">
        <v>36</v>
      </c>
      <c r="B7">
        <v>53.37</v>
      </c>
    </row>
    <row r="8" spans="1:2" x14ac:dyDescent="0.3">
      <c r="A8" s="3" t="s">
        <v>63</v>
      </c>
      <c r="B8">
        <v>55.03</v>
      </c>
    </row>
    <row r="9" spans="1:2" x14ac:dyDescent="0.3">
      <c r="A9" s="3" t="s">
        <v>71</v>
      </c>
      <c r="B9">
        <v>63.69</v>
      </c>
    </row>
    <row r="10" spans="1:2" x14ac:dyDescent="0.3">
      <c r="A10" s="3" t="s">
        <v>69</v>
      </c>
      <c r="B10">
        <v>64.03</v>
      </c>
    </row>
    <row r="11" spans="1:2" x14ac:dyDescent="0.3">
      <c r="A11" s="3" t="s">
        <v>61</v>
      </c>
      <c r="B11">
        <v>70.069999999999993</v>
      </c>
    </row>
    <row r="12" spans="1:2" x14ac:dyDescent="0.3">
      <c r="A12" s="3" t="s">
        <v>166</v>
      </c>
      <c r="B12">
        <v>549.56999999999994</v>
      </c>
    </row>
    <row r="23" spans="1:2" x14ac:dyDescent="0.3">
      <c r="A23" t="s">
        <v>181</v>
      </c>
      <c r="B23" t="s">
        <v>189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85505-EC91-425D-86A7-9ED59583F79A}">
  <dimension ref="A1:C27"/>
  <sheetViews>
    <sheetView tabSelected="1" topLeftCell="A4" workbookViewId="0">
      <selection activeCell="O19" sqref="O19"/>
    </sheetView>
  </sheetViews>
  <sheetFormatPr defaultRowHeight="14.4" x14ac:dyDescent="0.3"/>
  <cols>
    <col min="1" max="1" width="12.6640625" bestFit="1" customWidth="1"/>
    <col min="2" max="2" width="19.44140625" bestFit="1" customWidth="1"/>
    <col min="3" max="3" width="17.21875" bestFit="1" customWidth="1"/>
  </cols>
  <sheetData>
    <row r="1" spans="1:3" x14ac:dyDescent="0.3">
      <c r="A1" s="2" t="s">
        <v>165</v>
      </c>
      <c r="B1" t="s">
        <v>186</v>
      </c>
      <c r="C1" t="s">
        <v>187</v>
      </c>
    </row>
    <row r="2" spans="1:3" x14ac:dyDescent="0.3">
      <c r="A2" s="3" t="s">
        <v>34</v>
      </c>
      <c r="B2">
        <v>2388882.63</v>
      </c>
      <c r="C2">
        <v>298685</v>
      </c>
    </row>
    <row r="3" spans="1:3" x14ac:dyDescent="0.3">
      <c r="A3" s="3" t="s">
        <v>36</v>
      </c>
      <c r="B3">
        <v>1564476.32</v>
      </c>
      <c r="C3">
        <v>834944</v>
      </c>
    </row>
    <row r="4" spans="1:3" x14ac:dyDescent="0.3">
      <c r="A4" s="3" t="s">
        <v>38</v>
      </c>
      <c r="B4">
        <v>968962.02</v>
      </c>
      <c r="C4">
        <v>121196</v>
      </c>
    </row>
    <row r="5" spans="1:3" x14ac:dyDescent="0.3">
      <c r="A5" s="3" t="s">
        <v>40</v>
      </c>
      <c r="B5">
        <v>926748.42</v>
      </c>
      <c r="C5">
        <v>347748</v>
      </c>
    </row>
    <row r="6" spans="1:3" x14ac:dyDescent="0.3">
      <c r="A6" s="3" t="s">
        <v>41</v>
      </c>
      <c r="B6">
        <v>912983.28</v>
      </c>
      <c r="C6">
        <v>91344</v>
      </c>
    </row>
    <row r="7" spans="1:3" x14ac:dyDescent="0.3">
      <c r="A7" s="3" t="s">
        <v>43</v>
      </c>
      <c r="B7">
        <v>587397.66</v>
      </c>
      <c r="C7">
        <v>252102</v>
      </c>
    </row>
    <row r="8" spans="1:3" x14ac:dyDescent="0.3">
      <c r="A8" s="3" t="s">
        <v>44</v>
      </c>
      <c r="B8">
        <v>541629.52</v>
      </c>
      <c r="C8">
        <v>60248</v>
      </c>
    </row>
    <row r="9" spans="1:3" x14ac:dyDescent="0.3">
      <c r="A9" s="3" t="s">
        <v>46</v>
      </c>
      <c r="B9">
        <v>530594.56999999995</v>
      </c>
      <c r="C9">
        <v>132715</v>
      </c>
    </row>
    <row r="10" spans="1:3" x14ac:dyDescent="0.3">
      <c r="A10" s="3" t="s">
        <v>47</v>
      </c>
      <c r="B10">
        <v>507766.11</v>
      </c>
      <c r="C10">
        <v>117267</v>
      </c>
    </row>
    <row r="11" spans="1:3" x14ac:dyDescent="0.3">
      <c r="A11" s="3" t="s">
        <v>48</v>
      </c>
      <c r="B11">
        <v>505092.12</v>
      </c>
      <c r="C11">
        <v>126352</v>
      </c>
    </row>
    <row r="12" spans="1:3" x14ac:dyDescent="0.3">
      <c r="A12" s="3" t="s">
        <v>166</v>
      </c>
      <c r="B12">
        <v>9434532.6499999985</v>
      </c>
      <c r="C12">
        <v>2382601</v>
      </c>
    </row>
    <row r="27" spans="2:3" x14ac:dyDescent="0.3">
      <c r="B27" t="s">
        <v>181</v>
      </c>
      <c r="C27" t="s">
        <v>190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B4E53-1940-410D-AA0A-1FE6D8215C3B}">
  <dimension ref="A1:J36"/>
  <sheetViews>
    <sheetView topLeftCell="A2" workbookViewId="0">
      <selection activeCell="G30" sqref="A2:J36"/>
    </sheetView>
  </sheetViews>
  <sheetFormatPr defaultRowHeight="14.4" x14ac:dyDescent="0.3"/>
  <cols>
    <col min="1" max="1" width="12.44140625" bestFit="1" customWidth="1"/>
    <col min="2" max="2" width="20.44140625" bestFit="1" customWidth="1"/>
    <col min="3" max="3" width="18.33203125" bestFit="1" customWidth="1"/>
    <col min="4" max="4" width="15" bestFit="1" customWidth="1"/>
    <col min="5" max="5" width="12.77734375" bestFit="1" customWidth="1"/>
    <col min="6" max="6" width="12.21875" bestFit="1" customWidth="1"/>
    <col min="7" max="7" width="13.109375" bestFit="1" customWidth="1"/>
    <col min="8" max="8" width="14.88671875" bestFit="1" customWidth="1"/>
    <col min="9" max="9" width="12.6640625" bestFit="1" customWidth="1"/>
    <col min="10" max="10" width="18" bestFit="1" customWidth="1"/>
  </cols>
  <sheetData>
    <row r="1" spans="1:10" x14ac:dyDescent="0.3">
      <c r="A1" t="s">
        <v>28</v>
      </c>
      <c r="B1" t="s">
        <v>29</v>
      </c>
      <c r="C1" t="s">
        <v>30</v>
      </c>
      <c r="D1" t="s">
        <v>2</v>
      </c>
      <c r="E1" t="s">
        <v>3</v>
      </c>
      <c r="F1" t="s">
        <v>4</v>
      </c>
      <c r="G1" t="s">
        <v>5</v>
      </c>
      <c r="H1" t="s">
        <v>31</v>
      </c>
      <c r="I1" t="s">
        <v>32</v>
      </c>
      <c r="J1" t="s">
        <v>33</v>
      </c>
    </row>
    <row r="2" spans="1:10" x14ac:dyDescent="0.3">
      <c r="A2">
        <v>18</v>
      </c>
      <c r="B2" t="s">
        <v>34</v>
      </c>
      <c r="C2" t="s">
        <v>35</v>
      </c>
      <c r="D2">
        <v>2388882.63</v>
      </c>
      <c r="E2">
        <v>298685</v>
      </c>
      <c r="F2">
        <v>59737</v>
      </c>
      <c r="G2">
        <v>12.5</v>
      </c>
      <c r="H2">
        <v>1</v>
      </c>
      <c r="I2">
        <v>3</v>
      </c>
      <c r="J2">
        <v>32</v>
      </c>
    </row>
    <row r="3" spans="1:10" x14ac:dyDescent="0.3">
      <c r="A3">
        <v>6</v>
      </c>
      <c r="B3" t="s">
        <v>36</v>
      </c>
      <c r="C3" t="s">
        <v>37</v>
      </c>
      <c r="D3">
        <v>1564476.32</v>
      </c>
      <c r="E3">
        <v>834944</v>
      </c>
      <c r="F3">
        <v>104368</v>
      </c>
      <c r="G3">
        <v>53.37</v>
      </c>
      <c r="H3">
        <v>2</v>
      </c>
      <c r="I3">
        <v>1</v>
      </c>
      <c r="J3">
        <v>5</v>
      </c>
    </row>
    <row r="4" spans="1:10" x14ac:dyDescent="0.3">
      <c r="A4">
        <v>19</v>
      </c>
      <c r="B4" t="s">
        <v>38</v>
      </c>
      <c r="C4" t="s">
        <v>39</v>
      </c>
      <c r="D4">
        <v>968962.02</v>
      </c>
      <c r="E4">
        <v>121196</v>
      </c>
      <c r="F4">
        <v>60598</v>
      </c>
      <c r="G4">
        <v>12.51</v>
      </c>
      <c r="H4">
        <v>3</v>
      </c>
      <c r="I4">
        <v>11</v>
      </c>
      <c r="J4">
        <v>31</v>
      </c>
    </row>
    <row r="5" spans="1:10" x14ac:dyDescent="0.3">
      <c r="A5">
        <v>1</v>
      </c>
      <c r="B5" t="s">
        <v>40</v>
      </c>
      <c r="C5" t="s">
        <v>35</v>
      </c>
      <c r="D5">
        <v>926748.42</v>
      </c>
      <c r="E5">
        <v>347748</v>
      </c>
      <c r="F5">
        <v>57958</v>
      </c>
      <c r="G5">
        <v>37.520000000000003</v>
      </c>
      <c r="H5">
        <v>4</v>
      </c>
      <c r="I5">
        <v>2</v>
      </c>
      <c r="J5">
        <v>12</v>
      </c>
    </row>
    <row r="6" spans="1:10" x14ac:dyDescent="0.3">
      <c r="A6">
        <v>30</v>
      </c>
      <c r="B6" t="s">
        <v>41</v>
      </c>
      <c r="C6" t="s">
        <v>42</v>
      </c>
      <c r="D6">
        <v>912983.28</v>
      </c>
      <c r="E6">
        <v>91344</v>
      </c>
      <c r="F6">
        <v>45672</v>
      </c>
      <c r="G6">
        <v>10.01</v>
      </c>
      <c r="H6">
        <v>5</v>
      </c>
      <c r="I6">
        <v>18</v>
      </c>
      <c r="J6">
        <v>34</v>
      </c>
    </row>
    <row r="7" spans="1:10" x14ac:dyDescent="0.3">
      <c r="A7">
        <v>8</v>
      </c>
      <c r="B7" t="s">
        <v>43</v>
      </c>
      <c r="C7" t="s">
        <v>42</v>
      </c>
      <c r="D7">
        <v>587397.66</v>
      </c>
      <c r="E7">
        <v>252102</v>
      </c>
      <c r="F7">
        <v>84034</v>
      </c>
      <c r="G7">
        <v>42.92</v>
      </c>
      <c r="H7">
        <v>6</v>
      </c>
      <c r="I7">
        <v>4</v>
      </c>
      <c r="J7">
        <v>11</v>
      </c>
    </row>
    <row r="8" spans="1:10" x14ac:dyDescent="0.3">
      <c r="A8">
        <v>31</v>
      </c>
      <c r="B8" t="s">
        <v>44</v>
      </c>
      <c r="C8" t="s">
        <v>45</v>
      </c>
      <c r="D8">
        <v>541629.52</v>
      </c>
      <c r="E8">
        <v>60248</v>
      </c>
      <c r="F8">
        <v>60248</v>
      </c>
      <c r="G8">
        <v>11.12</v>
      </c>
      <c r="H8">
        <v>7</v>
      </c>
      <c r="I8">
        <v>20</v>
      </c>
      <c r="J8">
        <v>33</v>
      </c>
    </row>
    <row r="9" spans="1:10" x14ac:dyDescent="0.3">
      <c r="A9">
        <v>24</v>
      </c>
      <c r="B9" t="s">
        <v>46</v>
      </c>
      <c r="C9" t="s">
        <v>45</v>
      </c>
      <c r="D9">
        <v>530594.56999999995</v>
      </c>
      <c r="E9">
        <v>132715</v>
      </c>
      <c r="F9">
        <v>26543</v>
      </c>
      <c r="G9">
        <v>25.01</v>
      </c>
      <c r="H9">
        <v>8</v>
      </c>
      <c r="I9">
        <v>8</v>
      </c>
      <c r="J9">
        <v>22</v>
      </c>
    </row>
    <row r="10" spans="1:10" x14ac:dyDescent="0.3">
      <c r="A10">
        <v>2</v>
      </c>
      <c r="B10" t="s">
        <v>47</v>
      </c>
      <c r="C10" t="s">
        <v>35</v>
      </c>
      <c r="D10">
        <v>507766.11</v>
      </c>
      <c r="E10">
        <v>117267</v>
      </c>
      <c r="F10">
        <v>39089</v>
      </c>
      <c r="G10">
        <v>23.09</v>
      </c>
      <c r="H10">
        <v>9</v>
      </c>
      <c r="I10">
        <v>12</v>
      </c>
      <c r="J10">
        <v>23</v>
      </c>
    </row>
    <row r="11" spans="1:10" x14ac:dyDescent="0.3">
      <c r="A11">
        <v>7</v>
      </c>
      <c r="B11" t="s">
        <v>48</v>
      </c>
      <c r="C11" t="s">
        <v>45</v>
      </c>
      <c r="D11">
        <v>505092.12</v>
      </c>
      <c r="E11">
        <v>126352</v>
      </c>
      <c r="F11">
        <v>31588</v>
      </c>
      <c r="G11">
        <v>25.02</v>
      </c>
      <c r="H11">
        <v>10</v>
      </c>
      <c r="I11">
        <v>9</v>
      </c>
      <c r="J11">
        <v>20</v>
      </c>
    </row>
    <row r="12" spans="1:10" x14ac:dyDescent="0.3">
      <c r="A12">
        <v>17</v>
      </c>
      <c r="B12" t="s">
        <v>49</v>
      </c>
      <c r="C12" t="s">
        <v>39</v>
      </c>
      <c r="D12">
        <v>488415.67</v>
      </c>
      <c r="E12">
        <v>146598</v>
      </c>
      <c r="F12">
        <v>24433</v>
      </c>
      <c r="G12">
        <v>30.02</v>
      </c>
      <c r="H12">
        <v>11</v>
      </c>
      <c r="I12">
        <v>7</v>
      </c>
      <c r="J12">
        <v>16</v>
      </c>
    </row>
    <row r="13" spans="1:10" x14ac:dyDescent="0.3">
      <c r="A13">
        <v>10</v>
      </c>
      <c r="B13" t="s">
        <v>50</v>
      </c>
      <c r="C13" t="s">
        <v>35</v>
      </c>
      <c r="D13">
        <v>434889.88</v>
      </c>
      <c r="E13">
        <v>116048</v>
      </c>
      <c r="F13">
        <v>29012</v>
      </c>
      <c r="G13">
        <v>26.68</v>
      </c>
      <c r="H13">
        <v>12</v>
      </c>
      <c r="I13">
        <v>13</v>
      </c>
      <c r="J13">
        <v>19</v>
      </c>
    </row>
    <row r="14" spans="1:10" x14ac:dyDescent="0.3">
      <c r="A14">
        <v>9</v>
      </c>
      <c r="B14" t="s">
        <v>51</v>
      </c>
      <c r="C14" t="s">
        <v>35</v>
      </c>
      <c r="D14">
        <v>420213.64</v>
      </c>
      <c r="E14">
        <v>38236</v>
      </c>
      <c r="F14">
        <v>38236</v>
      </c>
      <c r="G14">
        <v>9.1</v>
      </c>
      <c r="H14">
        <v>13</v>
      </c>
      <c r="I14">
        <v>25</v>
      </c>
      <c r="J14">
        <v>35</v>
      </c>
    </row>
    <row r="15" spans="1:10" x14ac:dyDescent="0.3">
      <c r="A15">
        <v>14</v>
      </c>
      <c r="B15" t="s">
        <v>52</v>
      </c>
      <c r="C15" t="s">
        <v>42</v>
      </c>
      <c r="D15">
        <v>412322.82</v>
      </c>
      <c r="E15">
        <v>187590</v>
      </c>
      <c r="F15">
        <v>37518</v>
      </c>
      <c r="G15">
        <v>45.5</v>
      </c>
      <c r="H15">
        <v>14</v>
      </c>
      <c r="I15">
        <v>5</v>
      </c>
      <c r="J15">
        <v>10</v>
      </c>
    </row>
    <row r="16" spans="1:10" x14ac:dyDescent="0.3">
      <c r="A16">
        <v>13</v>
      </c>
      <c r="B16" t="s">
        <v>53</v>
      </c>
      <c r="C16" t="s">
        <v>37</v>
      </c>
      <c r="D16">
        <v>376938.42</v>
      </c>
      <c r="E16">
        <v>107748</v>
      </c>
      <c r="F16">
        <v>17958</v>
      </c>
      <c r="G16">
        <v>28.59</v>
      </c>
      <c r="H16">
        <v>15</v>
      </c>
      <c r="I16">
        <v>14</v>
      </c>
      <c r="J16">
        <v>18</v>
      </c>
    </row>
    <row r="17" spans="1:10" x14ac:dyDescent="0.3">
      <c r="A17">
        <v>3</v>
      </c>
      <c r="B17" t="s">
        <v>54</v>
      </c>
      <c r="C17" t="s">
        <v>39</v>
      </c>
      <c r="D17">
        <v>365735.37</v>
      </c>
      <c r="E17">
        <v>183326</v>
      </c>
      <c r="F17">
        <v>91663</v>
      </c>
      <c r="G17">
        <v>50.13</v>
      </c>
      <c r="H17">
        <v>16</v>
      </c>
      <c r="I17">
        <v>6</v>
      </c>
      <c r="J17">
        <v>6</v>
      </c>
    </row>
    <row r="18" spans="1:10" x14ac:dyDescent="0.3">
      <c r="A18">
        <v>21</v>
      </c>
      <c r="B18" t="s">
        <v>55</v>
      </c>
      <c r="C18" t="s">
        <v>45</v>
      </c>
      <c r="D18">
        <v>335703.96</v>
      </c>
      <c r="E18">
        <v>100812</v>
      </c>
      <c r="F18">
        <v>33604</v>
      </c>
      <c r="G18">
        <v>30.03</v>
      </c>
      <c r="H18">
        <v>17</v>
      </c>
      <c r="I18">
        <v>16</v>
      </c>
      <c r="J18">
        <v>15</v>
      </c>
    </row>
    <row r="19" spans="1:10" x14ac:dyDescent="0.3">
      <c r="A19">
        <v>25</v>
      </c>
      <c r="B19" t="s">
        <v>56</v>
      </c>
      <c r="C19" t="s">
        <v>39</v>
      </c>
      <c r="D19">
        <v>308352.71999999997</v>
      </c>
      <c r="E19">
        <v>103128</v>
      </c>
      <c r="F19">
        <v>103128</v>
      </c>
      <c r="G19">
        <v>33.44</v>
      </c>
      <c r="H19">
        <v>18</v>
      </c>
      <c r="I19">
        <v>15</v>
      </c>
      <c r="J19">
        <v>13</v>
      </c>
    </row>
    <row r="20" spans="1:10" x14ac:dyDescent="0.3">
      <c r="A20">
        <v>34</v>
      </c>
      <c r="B20" t="s">
        <v>57</v>
      </c>
      <c r="C20" t="s">
        <v>37</v>
      </c>
      <c r="D20">
        <v>305356.51</v>
      </c>
      <c r="E20">
        <v>58745</v>
      </c>
      <c r="F20">
        <v>11749</v>
      </c>
      <c r="G20">
        <v>19.239999999999998</v>
      </c>
      <c r="H20">
        <v>19</v>
      </c>
      <c r="I20">
        <v>21</v>
      </c>
      <c r="J20">
        <v>28</v>
      </c>
    </row>
    <row r="21" spans="1:10" x14ac:dyDescent="0.3">
      <c r="A21">
        <v>11</v>
      </c>
      <c r="B21" t="s">
        <v>58</v>
      </c>
      <c r="C21" t="s">
        <v>39</v>
      </c>
      <c r="D21">
        <v>255406.32</v>
      </c>
      <c r="E21">
        <v>121680</v>
      </c>
      <c r="F21">
        <v>12168</v>
      </c>
      <c r="G21">
        <v>47.64</v>
      </c>
      <c r="H21">
        <v>20</v>
      </c>
      <c r="I21">
        <v>10</v>
      </c>
      <c r="J21">
        <v>9</v>
      </c>
    </row>
    <row r="22" spans="1:10" x14ac:dyDescent="0.3">
      <c r="A22">
        <v>26</v>
      </c>
      <c r="B22" t="s">
        <v>59</v>
      </c>
      <c r="C22" t="s">
        <v>39</v>
      </c>
      <c r="D22">
        <v>157387.01999999999</v>
      </c>
      <c r="E22">
        <v>25192</v>
      </c>
      <c r="F22">
        <v>6298</v>
      </c>
      <c r="G22">
        <v>16.010000000000002</v>
      </c>
      <c r="H22">
        <v>21</v>
      </c>
      <c r="I22">
        <v>27</v>
      </c>
      <c r="J22">
        <v>29</v>
      </c>
    </row>
    <row r="23" spans="1:10" x14ac:dyDescent="0.3">
      <c r="A23">
        <v>15</v>
      </c>
      <c r="B23" t="s">
        <v>60</v>
      </c>
      <c r="C23" t="s">
        <v>35</v>
      </c>
      <c r="D23">
        <v>135727.41</v>
      </c>
      <c r="E23">
        <v>45318</v>
      </c>
      <c r="F23">
        <v>22659</v>
      </c>
      <c r="G23">
        <v>33.39</v>
      </c>
      <c r="H23">
        <v>22</v>
      </c>
      <c r="I23">
        <v>22</v>
      </c>
      <c r="J23">
        <v>14</v>
      </c>
    </row>
    <row r="24" spans="1:10" x14ac:dyDescent="0.3">
      <c r="A24">
        <v>16</v>
      </c>
      <c r="B24" t="s">
        <v>61</v>
      </c>
      <c r="C24" t="s">
        <v>42</v>
      </c>
      <c r="D24">
        <v>130409.46</v>
      </c>
      <c r="E24">
        <v>91378</v>
      </c>
      <c r="F24">
        <v>13054</v>
      </c>
      <c r="G24">
        <v>70.069999999999993</v>
      </c>
      <c r="H24">
        <v>23</v>
      </c>
      <c r="I24">
        <v>17</v>
      </c>
      <c r="J24">
        <v>1</v>
      </c>
    </row>
    <row r="25" spans="1:10" x14ac:dyDescent="0.3">
      <c r="A25">
        <v>27</v>
      </c>
      <c r="B25" t="s">
        <v>62</v>
      </c>
      <c r="C25" t="s">
        <v>39</v>
      </c>
      <c r="D25">
        <v>115408.72</v>
      </c>
      <c r="E25">
        <v>23128</v>
      </c>
      <c r="F25">
        <v>23128</v>
      </c>
      <c r="G25">
        <v>20.04</v>
      </c>
      <c r="H25">
        <v>24</v>
      </c>
      <c r="I25">
        <v>28</v>
      </c>
      <c r="J25">
        <v>25</v>
      </c>
    </row>
    <row r="26" spans="1:10" x14ac:dyDescent="0.3">
      <c r="A26">
        <v>29</v>
      </c>
      <c r="B26" t="s">
        <v>63</v>
      </c>
      <c r="C26" t="s">
        <v>35</v>
      </c>
      <c r="D26">
        <v>109705.12</v>
      </c>
      <c r="E26">
        <v>60368</v>
      </c>
      <c r="F26">
        <v>5488</v>
      </c>
      <c r="G26">
        <v>55.03</v>
      </c>
      <c r="H26">
        <v>25</v>
      </c>
      <c r="I26">
        <v>19</v>
      </c>
      <c r="J26">
        <v>4</v>
      </c>
    </row>
    <row r="27" spans="1:10" x14ac:dyDescent="0.3">
      <c r="A27">
        <v>32</v>
      </c>
      <c r="B27" t="s">
        <v>64</v>
      </c>
      <c r="C27" t="s">
        <v>45</v>
      </c>
      <c r="D27">
        <v>101827.07</v>
      </c>
      <c r="E27">
        <v>20379</v>
      </c>
      <c r="F27">
        <v>6793</v>
      </c>
      <c r="G27">
        <v>20.010000000000002</v>
      </c>
      <c r="H27">
        <v>26</v>
      </c>
      <c r="I27">
        <v>30</v>
      </c>
      <c r="J27">
        <v>27</v>
      </c>
    </row>
    <row r="28" spans="1:10" x14ac:dyDescent="0.3">
      <c r="A28">
        <v>12</v>
      </c>
      <c r="B28" t="s">
        <v>65</v>
      </c>
      <c r="C28" t="s">
        <v>45</v>
      </c>
      <c r="D28">
        <v>91363.8</v>
      </c>
      <c r="E28">
        <v>22860</v>
      </c>
      <c r="F28">
        <v>7620</v>
      </c>
      <c r="G28">
        <v>25.02</v>
      </c>
      <c r="H28">
        <v>27</v>
      </c>
      <c r="I28">
        <v>29</v>
      </c>
      <c r="J28">
        <v>20</v>
      </c>
    </row>
    <row r="29" spans="1:10" x14ac:dyDescent="0.3">
      <c r="A29">
        <v>23</v>
      </c>
      <c r="B29" t="s">
        <v>66</v>
      </c>
      <c r="C29" t="s">
        <v>35</v>
      </c>
      <c r="D29">
        <v>85963.95</v>
      </c>
      <c r="E29">
        <v>43025</v>
      </c>
      <c r="F29">
        <v>8605</v>
      </c>
      <c r="G29">
        <v>50.05</v>
      </c>
      <c r="H29">
        <v>28</v>
      </c>
      <c r="I29">
        <v>23</v>
      </c>
      <c r="J29">
        <v>8</v>
      </c>
    </row>
    <row r="30" spans="1:10" x14ac:dyDescent="0.3">
      <c r="A30">
        <v>33</v>
      </c>
      <c r="B30" t="s">
        <v>67</v>
      </c>
      <c r="C30" t="s">
        <v>35</v>
      </c>
      <c r="D30">
        <v>83343.839999999997</v>
      </c>
      <c r="E30">
        <v>12832</v>
      </c>
      <c r="F30">
        <v>6416</v>
      </c>
      <c r="G30">
        <v>15.4</v>
      </c>
      <c r="H30">
        <v>29</v>
      </c>
      <c r="I30">
        <v>32</v>
      </c>
      <c r="J30">
        <v>30</v>
      </c>
    </row>
    <row r="31" spans="1:10" x14ac:dyDescent="0.3">
      <c r="A31">
        <v>22</v>
      </c>
      <c r="B31" t="s">
        <v>68</v>
      </c>
      <c r="C31" t="s">
        <v>42</v>
      </c>
      <c r="D31">
        <v>67666.149999999994</v>
      </c>
      <c r="E31">
        <v>20310</v>
      </c>
      <c r="F31">
        <v>3385</v>
      </c>
      <c r="G31">
        <v>30.02</v>
      </c>
      <c r="H31">
        <v>30</v>
      </c>
      <c r="I31">
        <v>31</v>
      </c>
      <c r="J31">
        <v>16</v>
      </c>
    </row>
    <row r="32" spans="1:10" x14ac:dyDescent="0.3">
      <c r="A32">
        <v>20</v>
      </c>
      <c r="B32" t="s">
        <v>69</v>
      </c>
      <c r="C32" t="s">
        <v>45</v>
      </c>
      <c r="D32">
        <v>66148.53</v>
      </c>
      <c r="E32">
        <v>42352</v>
      </c>
      <c r="F32">
        <v>2647</v>
      </c>
      <c r="G32">
        <v>64.03</v>
      </c>
      <c r="H32">
        <v>31</v>
      </c>
      <c r="I32">
        <v>24</v>
      </c>
      <c r="J32">
        <v>2</v>
      </c>
    </row>
    <row r="33" spans="1:10" x14ac:dyDescent="0.3">
      <c r="A33">
        <v>4</v>
      </c>
      <c r="B33" t="s">
        <v>70</v>
      </c>
      <c r="C33" t="s">
        <v>42</v>
      </c>
      <c r="D33">
        <v>49738.71</v>
      </c>
      <c r="E33">
        <v>11487</v>
      </c>
      <c r="F33">
        <v>3829</v>
      </c>
      <c r="G33">
        <v>23.09</v>
      </c>
      <c r="H33">
        <v>32</v>
      </c>
      <c r="I33">
        <v>33</v>
      </c>
      <c r="J33">
        <v>23</v>
      </c>
    </row>
    <row r="34" spans="1:10" x14ac:dyDescent="0.3">
      <c r="A34">
        <v>28</v>
      </c>
      <c r="B34" t="s">
        <v>71</v>
      </c>
      <c r="C34" t="s">
        <v>39</v>
      </c>
      <c r="D34">
        <v>45696.42</v>
      </c>
      <c r="E34">
        <v>29106</v>
      </c>
      <c r="F34">
        <v>4158</v>
      </c>
      <c r="G34">
        <v>63.69</v>
      </c>
      <c r="H34">
        <v>33</v>
      </c>
      <c r="I34">
        <v>26</v>
      </c>
      <c r="J34">
        <v>3</v>
      </c>
    </row>
    <row r="35" spans="1:10" x14ac:dyDescent="0.3">
      <c r="A35">
        <v>5</v>
      </c>
      <c r="B35" t="s">
        <v>72</v>
      </c>
      <c r="C35" t="s">
        <v>42</v>
      </c>
      <c r="D35">
        <v>44665.29</v>
      </c>
      <c r="E35">
        <v>8942</v>
      </c>
      <c r="F35">
        <v>4471</v>
      </c>
      <c r="G35">
        <v>20.02</v>
      </c>
      <c r="H35">
        <v>34</v>
      </c>
      <c r="I35">
        <v>35</v>
      </c>
      <c r="J35">
        <v>26</v>
      </c>
    </row>
    <row r="36" spans="1:10" x14ac:dyDescent="0.3">
      <c r="A36">
        <v>35</v>
      </c>
      <c r="B36" t="s">
        <v>73</v>
      </c>
      <c r="C36" t="s">
        <v>42</v>
      </c>
      <c r="D36">
        <v>21652.9</v>
      </c>
      <c r="E36">
        <v>10840</v>
      </c>
      <c r="F36">
        <v>2710</v>
      </c>
      <c r="G36">
        <v>50.06</v>
      </c>
      <c r="H36">
        <v>35</v>
      </c>
      <c r="I36">
        <v>34</v>
      </c>
      <c r="J36">
        <v>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8B33A-FD67-441D-ADB2-72659F533A53}">
  <dimension ref="A1:C24"/>
  <sheetViews>
    <sheetView workbookViewId="0">
      <selection activeCell="C25" sqref="C25"/>
    </sheetView>
  </sheetViews>
  <sheetFormatPr defaultRowHeight="14.4" x14ac:dyDescent="0.3"/>
  <cols>
    <col min="1" max="1" width="15.5546875" bestFit="1" customWidth="1"/>
    <col min="2" max="2" width="22.5546875" bestFit="1" customWidth="1"/>
    <col min="3" max="3" width="20.21875" bestFit="1" customWidth="1"/>
  </cols>
  <sheetData>
    <row r="1" spans="1:3" x14ac:dyDescent="0.3">
      <c r="A1" s="2" t="s">
        <v>165</v>
      </c>
      <c r="B1" t="s">
        <v>183</v>
      </c>
      <c r="C1" t="s">
        <v>184</v>
      </c>
    </row>
    <row r="2" spans="1:3" x14ac:dyDescent="0.3">
      <c r="A2" s="3" t="s">
        <v>84</v>
      </c>
      <c r="B2">
        <v>396.71000000000004</v>
      </c>
      <c r="C2">
        <v>112.88</v>
      </c>
    </row>
    <row r="3" spans="1:3" x14ac:dyDescent="0.3">
      <c r="A3" s="3" t="s">
        <v>87</v>
      </c>
      <c r="B3">
        <v>276.8</v>
      </c>
      <c r="C3">
        <v>78.05</v>
      </c>
    </row>
    <row r="4" spans="1:3" x14ac:dyDescent="0.3">
      <c r="A4" s="3" t="s">
        <v>90</v>
      </c>
      <c r="B4">
        <v>265.89999999999998</v>
      </c>
      <c r="C4">
        <v>72.039999999999992</v>
      </c>
    </row>
    <row r="5" spans="1:3" x14ac:dyDescent="0.3">
      <c r="A5" s="3" t="s">
        <v>97</v>
      </c>
      <c r="B5">
        <v>254.89</v>
      </c>
      <c r="C5">
        <v>73.989999999999995</v>
      </c>
    </row>
    <row r="6" spans="1:3" x14ac:dyDescent="0.3">
      <c r="A6" s="3" t="s">
        <v>95</v>
      </c>
      <c r="B6">
        <v>210.7</v>
      </c>
      <c r="C6">
        <v>55.65</v>
      </c>
    </row>
    <row r="7" spans="1:3" x14ac:dyDescent="0.3">
      <c r="A7" s="3" t="s">
        <v>107</v>
      </c>
      <c r="B7">
        <v>193.37</v>
      </c>
      <c r="C7">
        <v>55.08</v>
      </c>
    </row>
    <row r="8" spans="1:3" x14ac:dyDescent="0.3">
      <c r="A8" s="3" t="s">
        <v>99</v>
      </c>
      <c r="B8">
        <v>159.07</v>
      </c>
      <c r="C8">
        <v>42.43</v>
      </c>
    </row>
    <row r="9" spans="1:3" x14ac:dyDescent="0.3">
      <c r="A9" s="3" t="s">
        <v>114</v>
      </c>
      <c r="B9">
        <v>136.32999999999998</v>
      </c>
      <c r="C9">
        <v>35.129999999999995</v>
      </c>
    </row>
    <row r="10" spans="1:3" x14ac:dyDescent="0.3">
      <c r="A10" s="3" t="s">
        <v>105</v>
      </c>
      <c r="B10">
        <v>128.74</v>
      </c>
      <c r="C10">
        <v>35.979999999999997</v>
      </c>
    </row>
    <row r="11" spans="1:3" x14ac:dyDescent="0.3">
      <c r="A11" s="3" t="s">
        <v>109</v>
      </c>
      <c r="B11">
        <v>128.16999999999999</v>
      </c>
      <c r="C11">
        <v>36.5</v>
      </c>
    </row>
    <row r="12" spans="1:3" x14ac:dyDescent="0.3">
      <c r="A12" s="3" t="s">
        <v>166</v>
      </c>
      <c r="B12">
        <v>2150.6799999999998</v>
      </c>
      <c r="C12">
        <v>597.7299999999999</v>
      </c>
    </row>
    <row r="24" spans="2:3" x14ac:dyDescent="0.3">
      <c r="B24" t="s">
        <v>181</v>
      </c>
      <c r="C24" t="s">
        <v>185</v>
      </c>
    </row>
  </sheetData>
  <sortState xmlns:xlrd2="http://schemas.microsoft.com/office/spreadsheetml/2017/richdata2" ref="A1:C12">
    <sortCondition descending="1" ref="B1"/>
  </sortState>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23ED2-ACA7-4DFA-B5DB-BA4E06E65CFC}">
  <dimension ref="A1:K51"/>
  <sheetViews>
    <sheetView topLeftCell="A2" workbookViewId="0">
      <selection activeCell="G11" sqref="A2:K51"/>
    </sheetView>
  </sheetViews>
  <sheetFormatPr defaultRowHeight="14.4" x14ac:dyDescent="0.3"/>
  <cols>
    <col min="1" max="1" width="10" bestFit="1" customWidth="1"/>
    <col min="2" max="2" width="27.5546875" bestFit="1" customWidth="1"/>
    <col min="3" max="3" width="15.33203125" bestFit="1" customWidth="1"/>
    <col min="4" max="4" width="15.5546875" bestFit="1" customWidth="1"/>
    <col min="5" max="5" width="15" bestFit="1" customWidth="1"/>
    <col min="6" max="6" width="12.77734375" bestFit="1" customWidth="1"/>
    <col min="7" max="7" width="12.21875" bestFit="1" customWidth="1"/>
    <col min="8" max="8" width="12.44140625" bestFit="1" customWidth="1"/>
    <col min="9" max="9" width="18.109375" bestFit="1" customWidth="1"/>
    <col min="10" max="10" width="15.88671875" bestFit="1" customWidth="1"/>
    <col min="11" max="11" width="19.88671875" bestFit="1" customWidth="1"/>
  </cols>
  <sheetData>
    <row r="1" spans="1:11" x14ac:dyDescent="0.3">
      <c r="A1" t="s">
        <v>74</v>
      </c>
      <c r="B1" t="s">
        <v>75</v>
      </c>
      <c r="C1" t="s">
        <v>76</v>
      </c>
      <c r="D1" t="s">
        <v>77</v>
      </c>
      <c r="E1" t="s">
        <v>2</v>
      </c>
      <c r="F1" t="s">
        <v>3</v>
      </c>
      <c r="G1" t="s">
        <v>4</v>
      </c>
      <c r="H1" t="s">
        <v>78</v>
      </c>
      <c r="I1" t="s">
        <v>79</v>
      </c>
      <c r="J1" t="s">
        <v>80</v>
      </c>
      <c r="K1" t="s">
        <v>81</v>
      </c>
    </row>
    <row r="2" spans="1:11" x14ac:dyDescent="0.3">
      <c r="A2">
        <v>31</v>
      </c>
      <c r="B2" t="s">
        <v>82</v>
      </c>
      <c r="C2" t="s">
        <v>83</v>
      </c>
      <c r="D2" t="s">
        <v>84</v>
      </c>
      <c r="E2">
        <v>554553.43000000005</v>
      </c>
      <c r="F2">
        <v>169856</v>
      </c>
      <c r="G2">
        <v>42757</v>
      </c>
      <c r="H2">
        <v>4167</v>
      </c>
      <c r="I2">
        <v>133.08000000000001</v>
      </c>
      <c r="J2">
        <v>40.76</v>
      </c>
      <c r="K2">
        <v>10</v>
      </c>
    </row>
    <row r="3" spans="1:11" x14ac:dyDescent="0.3">
      <c r="A3">
        <v>46</v>
      </c>
      <c r="B3" t="s">
        <v>85</v>
      </c>
      <c r="C3" t="s">
        <v>86</v>
      </c>
      <c r="D3" t="s">
        <v>87</v>
      </c>
      <c r="E3">
        <v>348466.64</v>
      </c>
      <c r="F3">
        <v>102178</v>
      </c>
      <c r="G3">
        <v>24136</v>
      </c>
      <c r="H3">
        <v>2892</v>
      </c>
      <c r="I3">
        <v>120.49</v>
      </c>
      <c r="J3">
        <v>35.33</v>
      </c>
      <c r="K3">
        <v>8</v>
      </c>
    </row>
    <row r="4" spans="1:11" x14ac:dyDescent="0.3">
      <c r="A4">
        <v>47</v>
      </c>
      <c r="B4" t="s">
        <v>88</v>
      </c>
      <c r="C4" t="s">
        <v>89</v>
      </c>
      <c r="D4" t="s">
        <v>90</v>
      </c>
      <c r="E4">
        <v>325073.5</v>
      </c>
      <c r="F4">
        <v>79339</v>
      </c>
      <c r="G4">
        <v>22450</v>
      </c>
      <c r="H4">
        <v>2871</v>
      </c>
      <c r="I4">
        <v>113.23</v>
      </c>
      <c r="J4">
        <v>27.63</v>
      </c>
      <c r="K4">
        <v>7</v>
      </c>
    </row>
    <row r="5" spans="1:11" x14ac:dyDescent="0.3">
      <c r="A5">
        <v>45</v>
      </c>
      <c r="B5" t="s">
        <v>91</v>
      </c>
      <c r="C5" t="s">
        <v>89</v>
      </c>
      <c r="D5" t="s">
        <v>84</v>
      </c>
      <c r="E5">
        <v>323957.71000000002</v>
      </c>
      <c r="F5">
        <v>90385</v>
      </c>
      <c r="G5">
        <v>22729</v>
      </c>
      <c r="H5">
        <v>3024</v>
      </c>
      <c r="I5">
        <v>107.13</v>
      </c>
      <c r="J5">
        <v>29.89</v>
      </c>
      <c r="K5">
        <v>7</v>
      </c>
    </row>
    <row r="6" spans="1:11" x14ac:dyDescent="0.3">
      <c r="A6">
        <v>30</v>
      </c>
      <c r="B6" t="s">
        <v>92</v>
      </c>
      <c r="C6" t="s">
        <v>83</v>
      </c>
      <c r="D6" t="s">
        <v>87</v>
      </c>
      <c r="E6">
        <v>449354.91</v>
      </c>
      <c r="F6">
        <v>121571</v>
      </c>
      <c r="G6">
        <v>31609</v>
      </c>
      <c r="H6">
        <v>4364</v>
      </c>
      <c r="I6">
        <v>102.97</v>
      </c>
      <c r="J6">
        <v>27.86</v>
      </c>
      <c r="K6">
        <v>7</v>
      </c>
    </row>
    <row r="7" spans="1:11" x14ac:dyDescent="0.3">
      <c r="A7">
        <v>50</v>
      </c>
      <c r="B7" t="s">
        <v>93</v>
      </c>
      <c r="C7" t="s">
        <v>94</v>
      </c>
      <c r="D7" t="s">
        <v>95</v>
      </c>
      <c r="E7">
        <v>276212.56</v>
      </c>
      <c r="F7">
        <v>67495</v>
      </c>
      <c r="G7">
        <v>18444</v>
      </c>
      <c r="H7">
        <v>2692</v>
      </c>
      <c r="I7">
        <v>102.6</v>
      </c>
      <c r="J7">
        <v>25.07</v>
      </c>
      <c r="K7">
        <v>6</v>
      </c>
    </row>
    <row r="8" spans="1:11" x14ac:dyDescent="0.3">
      <c r="A8">
        <v>42</v>
      </c>
      <c r="B8" t="s">
        <v>96</v>
      </c>
      <c r="C8" t="s">
        <v>89</v>
      </c>
      <c r="D8" t="s">
        <v>97</v>
      </c>
      <c r="E8">
        <v>344846.64</v>
      </c>
      <c r="F8">
        <v>98825</v>
      </c>
      <c r="G8">
        <v>23236</v>
      </c>
      <c r="H8">
        <v>3383</v>
      </c>
      <c r="I8">
        <v>101.94</v>
      </c>
      <c r="J8">
        <v>29.21</v>
      </c>
      <c r="K8">
        <v>6</v>
      </c>
    </row>
    <row r="9" spans="1:11" x14ac:dyDescent="0.3">
      <c r="A9">
        <v>39</v>
      </c>
      <c r="B9" t="s">
        <v>98</v>
      </c>
      <c r="C9" t="s">
        <v>86</v>
      </c>
      <c r="D9" t="s">
        <v>99</v>
      </c>
      <c r="E9">
        <v>344307.04</v>
      </c>
      <c r="F9">
        <v>88637</v>
      </c>
      <c r="G9">
        <v>25296</v>
      </c>
      <c r="H9">
        <v>3450</v>
      </c>
      <c r="I9">
        <v>99.8</v>
      </c>
      <c r="J9">
        <v>25.69</v>
      </c>
      <c r="K9">
        <v>7</v>
      </c>
    </row>
    <row r="10" spans="1:11" x14ac:dyDescent="0.3">
      <c r="A10">
        <v>41</v>
      </c>
      <c r="B10" t="s">
        <v>100</v>
      </c>
      <c r="C10" t="s">
        <v>86</v>
      </c>
      <c r="D10" t="s">
        <v>97</v>
      </c>
      <c r="E10">
        <v>323427.02</v>
      </c>
      <c r="F10">
        <v>87995</v>
      </c>
      <c r="G10">
        <v>23498</v>
      </c>
      <c r="H10">
        <v>3409</v>
      </c>
      <c r="I10">
        <v>94.87</v>
      </c>
      <c r="J10">
        <v>25.81</v>
      </c>
      <c r="K10">
        <v>6</v>
      </c>
    </row>
    <row r="11" spans="1:11" x14ac:dyDescent="0.3">
      <c r="A11">
        <v>37</v>
      </c>
      <c r="B11" t="s">
        <v>101</v>
      </c>
      <c r="C11" t="s">
        <v>94</v>
      </c>
      <c r="D11" t="s">
        <v>84</v>
      </c>
      <c r="E11">
        <v>337424.66</v>
      </c>
      <c r="F11">
        <v>94021</v>
      </c>
      <c r="G11">
        <v>26634</v>
      </c>
      <c r="H11">
        <v>3594</v>
      </c>
      <c r="I11">
        <v>93.89</v>
      </c>
      <c r="J11">
        <v>26.16</v>
      </c>
      <c r="K11">
        <v>7</v>
      </c>
    </row>
    <row r="12" spans="1:11" x14ac:dyDescent="0.3">
      <c r="A12">
        <v>49</v>
      </c>
      <c r="B12" t="s">
        <v>102</v>
      </c>
      <c r="C12" t="s">
        <v>86</v>
      </c>
      <c r="D12" t="s">
        <v>103</v>
      </c>
      <c r="E12">
        <v>251160.91</v>
      </c>
      <c r="F12">
        <v>63959</v>
      </c>
      <c r="G12">
        <v>19909</v>
      </c>
      <c r="H12">
        <v>2700</v>
      </c>
      <c r="I12">
        <v>93.02</v>
      </c>
      <c r="J12">
        <v>23.69</v>
      </c>
      <c r="K12">
        <v>7</v>
      </c>
    </row>
    <row r="13" spans="1:11" x14ac:dyDescent="0.3">
      <c r="A13">
        <v>48</v>
      </c>
      <c r="B13" t="s">
        <v>104</v>
      </c>
      <c r="C13" t="s">
        <v>89</v>
      </c>
      <c r="D13" t="s">
        <v>105</v>
      </c>
      <c r="E13">
        <v>249106.07</v>
      </c>
      <c r="F13">
        <v>68996</v>
      </c>
      <c r="G13">
        <v>18893</v>
      </c>
      <c r="H13">
        <v>2748</v>
      </c>
      <c r="I13">
        <v>90.65</v>
      </c>
      <c r="J13">
        <v>25.11</v>
      </c>
      <c r="K13">
        <v>6</v>
      </c>
    </row>
    <row r="14" spans="1:11" x14ac:dyDescent="0.3">
      <c r="A14">
        <v>44</v>
      </c>
      <c r="B14" t="s">
        <v>106</v>
      </c>
      <c r="C14" t="s">
        <v>94</v>
      </c>
      <c r="D14" t="s">
        <v>107</v>
      </c>
      <c r="E14">
        <v>267559.55</v>
      </c>
      <c r="F14">
        <v>78670</v>
      </c>
      <c r="G14">
        <v>19345</v>
      </c>
      <c r="H14">
        <v>3200</v>
      </c>
      <c r="I14">
        <v>83.61</v>
      </c>
      <c r="J14">
        <v>24.58</v>
      </c>
      <c r="K14">
        <v>6</v>
      </c>
    </row>
    <row r="15" spans="1:11" x14ac:dyDescent="0.3">
      <c r="A15">
        <v>38</v>
      </c>
      <c r="B15" t="s">
        <v>108</v>
      </c>
      <c r="C15" t="s">
        <v>86</v>
      </c>
      <c r="D15" t="s">
        <v>109</v>
      </c>
      <c r="E15">
        <v>268704.74</v>
      </c>
      <c r="F15">
        <v>77263</v>
      </c>
      <c r="G15">
        <v>22326</v>
      </c>
      <c r="H15">
        <v>3484</v>
      </c>
      <c r="I15">
        <v>77.13</v>
      </c>
      <c r="J15">
        <v>22.18</v>
      </c>
      <c r="K15">
        <v>6</v>
      </c>
    </row>
    <row r="16" spans="1:11" x14ac:dyDescent="0.3">
      <c r="A16">
        <v>33</v>
      </c>
      <c r="B16" t="s">
        <v>110</v>
      </c>
      <c r="C16" t="s">
        <v>83</v>
      </c>
      <c r="D16" t="s">
        <v>90</v>
      </c>
      <c r="E16">
        <v>285814.24</v>
      </c>
      <c r="F16">
        <v>86622</v>
      </c>
      <c r="G16">
        <v>22076</v>
      </c>
      <c r="H16">
        <v>3850</v>
      </c>
      <c r="I16">
        <v>74.239999999999995</v>
      </c>
      <c r="J16">
        <v>22.5</v>
      </c>
      <c r="K16">
        <v>5</v>
      </c>
    </row>
    <row r="17" spans="1:11" x14ac:dyDescent="0.3">
      <c r="A17">
        <v>36</v>
      </c>
      <c r="B17" t="s">
        <v>111</v>
      </c>
      <c r="C17" t="s">
        <v>86</v>
      </c>
      <c r="D17" t="s">
        <v>112</v>
      </c>
      <c r="E17">
        <v>273060.05</v>
      </c>
      <c r="F17">
        <v>90484</v>
      </c>
      <c r="G17">
        <v>20895</v>
      </c>
      <c r="H17">
        <v>3744</v>
      </c>
      <c r="I17">
        <v>72.930000000000007</v>
      </c>
      <c r="J17">
        <v>24.17</v>
      </c>
      <c r="K17">
        <v>5</v>
      </c>
    </row>
    <row r="18" spans="1:11" x14ac:dyDescent="0.3">
      <c r="A18">
        <v>17</v>
      </c>
      <c r="B18" t="s">
        <v>113</v>
      </c>
      <c r="C18" t="s">
        <v>86</v>
      </c>
      <c r="D18" t="s">
        <v>114</v>
      </c>
      <c r="E18">
        <v>411157.32</v>
      </c>
      <c r="F18">
        <v>104612</v>
      </c>
      <c r="G18">
        <v>32668</v>
      </c>
      <c r="H18">
        <v>5775</v>
      </c>
      <c r="I18">
        <v>71.2</v>
      </c>
      <c r="J18">
        <v>18.11</v>
      </c>
      <c r="K18">
        <v>5</v>
      </c>
    </row>
    <row r="19" spans="1:11" x14ac:dyDescent="0.3">
      <c r="A19">
        <v>34</v>
      </c>
      <c r="B19" t="s">
        <v>115</v>
      </c>
      <c r="C19" t="s">
        <v>86</v>
      </c>
      <c r="D19" t="s">
        <v>116</v>
      </c>
      <c r="E19">
        <v>258210.66</v>
      </c>
      <c r="F19">
        <v>74221</v>
      </c>
      <c r="G19">
        <v>20934</v>
      </c>
      <c r="H19">
        <v>3768</v>
      </c>
      <c r="I19">
        <v>68.53</v>
      </c>
      <c r="J19">
        <v>19.7</v>
      </c>
      <c r="K19">
        <v>5</v>
      </c>
    </row>
    <row r="20" spans="1:11" x14ac:dyDescent="0.3">
      <c r="A20">
        <v>43</v>
      </c>
      <c r="B20" t="s">
        <v>117</v>
      </c>
      <c r="C20" t="s">
        <v>86</v>
      </c>
      <c r="D20" t="s">
        <v>118</v>
      </c>
      <c r="E20">
        <v>222318.78</v>
      </c>
      <c r="F20">
        <v>62673</v>
      </c>
      <c r="G20">
        <v>17422</v>
      </c>
      <c r="H20">
        <v>3380</v>
      </c>
      <c r="I20">
        <v>65.77</v>
      </c>
      <c r="J20">
        <v>18.54</v>
      </c>
      <c r="K20">
        <v>5</v>
      </c>
    </row>
    <row r="21" spans="1:11" x14ac:dyDescent="0.3">
      <c r="A21">
        <v>40</v>
      </c>
      <c r="B21" t="s">
        <v>119</v>
      </c>
      <c r="C21" t="s">
        <v>89</v>
      </c>
      <c r="D21" t="s">
        <v>114</v>
      </c>
      <c r="E21">
        <v>222364.36</v>
      </c>
      <c r="F21">
        <v>58090</v>
      </c>
      <c r="G21">
        <v>15964</v>
      </c>
      <c r="H21">
        <v>3414</v>
      </c>
      <c r="I21">
        <v>65.13</v>
      </c>
      <c r="J21">
        <v>17.02</v>
      </c>
      <c r="K21">
        <v>4</v>
      </c>
    </row>
    <row r="22" spans="1:11" x14ac:dyDescent="0.3">
      <c r="A22">
        <v>35</v>
      </c>
      <c r="B22" t="s">
        <v>120</v>
      </c>
      <c r="C22" t="s">
        <v>86</v>
      </c>
      <c r="D22" t="s">
        <v>121</v>
      </c>
      <c r="E22">
        <v>242539.73</v>
      </c>
      <c r="F22">
        <v>66558</v>
      </c>
      <c r="G22">
        <v>18327</v>
      </c>
      <c r="H22">
        <v>3764</v>
      </c>
      <c r="I22">
        <v>64.44</v>
      </c>
      <c r="J22">
        <v>17.68</v>
      </c>
      <c r="K22">
        <v>4</v>
      </c>
    </row>
    <row r="23" spans="1:11" x14ac:dyDescent="0.3">
      <c r="A23">
        <v>9</v>
      </c>
      <c r="B23" t="s">
        <v>122</v>
      </c>
      <c r="C23" t="s">
        <v>86</v>
      </c>
      <c r="D23" t="s">
        <v>84</v>
      </c>
      <c r="E23">
        <v>433556.21</v>
      </c>
      <c r="F23">
        <v>111296</v>
      </c>
      <c r="G23">
        <v>33479</v>
      </c>
      <c r="H23">
        <v>6925</v>
      </c>
      <c r="I23">
        <v>62.61</v>
      </c>
      <c r="J23">
        <v>16.07</v>
      </c>
      <c r="K23">
        <v>4</v>
      </c>
    </row>
    <row r="24" spans="1:11" x14ac:dyDescent="0.3">
      <c r="A24">
        <v>28</v>
      </c>
      <c r="B24" t="s">
        <v>123</v>
      </c>
      <c r="C24" t="s">
        <v>86</v>
      </c>
      <c r="D24" t="s">
        <v>107</v>
      </c>
      <c r="E24">
        <v>282616.87</v>
      </c>
      <c r="F24">
        <v>75082</v>
      </c>
      <c r="G24">
        <v>22413</v>
      </c>
      <c r="H24">
        <v>4566</v>
      </c>
      <c r="I24">
        <v>61.9</v>
      </c>
      <c r="J24">
        <v>16.440000000000001</v>
      </c>
      <c r="K24">
        <v>4</v>
      </c>
    </row>
    <row r="25" spans="1:11" x14ac:dyDescent="0.3">
      <c r="A25">
        <v>25</v>
      </c>
      <c r="B25" t="s">
        <v>124</v>
      </c>
      <c r="C25" t="s">
        <v>86</v>
      </c>
      <c r="D25" t="s">
        <v>125</v>
      </c>
      <c r="E25">
        <v>294803.99</v>
      </c>
      <c r="F25">
        <v>83088</v>
      </c>
      <c r="G25">
        <v>20501</v>
      </c>
      <c r="H25">
        <v>4771</v>
      </c>
      <c r="I25">
        <v>61.79</v>
      </c>
      <c r="J25">
        <v>17.420000000000002</v>
      </c>
      <c r="K25">
        <v>4</v>
      </c>
    </row>
    <row r="26" spans="1:11" x14ac:dyDescent="0.3">
      <c r="A26">
        <v>29</v>
      </c>
      <c r="B26" t="s">
        <v>126</v>
      </c>
      <c r="C26" t="s">
        <v>89</v>
      </c>
      <c r="D26" t="s">
        <v>99</v>
      </c>
      <c r="E26">
        <v>265812.73</v>
      </c>
      <c r="F26">
        <v>75083</v>
      </c>
      <c r="G26">
        <v>18927</v>
      </c>
      <c r="H26">
        <v>4485</v>
      </c>
      <c r="I26">
        <v>59.27</v>
      </c>
      <c r="J26">
        <v>16.739999999999998</v>
      </c>
      <c r="K26">
        <v>4</v>
      </c>
    </row>
    <row r="27" spans="1:11" x14ac:dyDescent="0.3">
      <c r="A27">
        <v>32</v>
      </c>
      <c r="B27" t="s">
        <v>127</v>
      </c>
      <c r="C27" t="s">
        <v>94</v>
      </c>
      <c r="D27" t="s">
        <v>97</v>
      </c>
      <c r="E27">
        <v>235115.18</v>
      </c>
      <c r="F27">
        <v>76788</v>
      </c>
      <c r="G27">
        <v>20082</v>
      </c>
      <c r="H27">
        <v>4048</v>
      </c>
      <c r="I27">
        <v>58.08</v>
      </c>
      <c r="J27">
        <v>18.97</v>
      </c>
      <c r="K27">
        <v>4</v>
      </c>
    </row>
    <row r="28" spans="1:11" x14ac:dyDescent="0.3">
      <c r="A28">
        <v>22</v>
      </c>
      <c r="B28" t="s">
        <v>128</v>
      </c>
      <c r="C28" t="s">
        <v>89</v>
      </c>
      <c r="D28" t="s">
        <v>95</v>
      </c>
      <c r="E28">
        <v>278926.67</v>
      </c>
      <c r="F28">
        <v>79550</v>
      </c>
      <c r="G28">
        <v>21133</v>
      </c>
      <c r="H28">
        <v>4934</v>
      </c>
      <c r="I28">
        <v>56.53</v>
      </c>
      <c r="J28">
        <v>16.12</v>
      </c>
      <c r="K28">
        <v>4</v>
      </c>
    </row>
    <row r="29" spans="1:11" x14ac:dyDescent="0.3">
      <c r="A29">
        <v>21</v>
      </c>
      <c r="B29" t="s">
        <v>129</v>
      </c>
      <c r="C29" t="s">
        <v>86</v>
      </c>
      <c r="D29" t="s">
        <v>130</v>
      </c>
      <c r="E29">
        <v>277598.14</v>
      </c>
      <c r="F29">
        <v>72922</v>
      </c>
      <c r="G29">
        <v>20286</v>
      </c>
      <c r="H29">
        <v>5060</v>
      </c>
      <c r="I29">
        <v>54.86</v>
      </c>
      <c r="J29">
        <v>14.41</v>
      </c>
      <c r="K29">
        <v>4</v>
      </c>
    </row>
    <row r="30" spans="1:11" x14ac:dyDescent="0.3">
      <c r="A30">
        <v>7</v>
      </c>
      <c r="B30" t="s">
        <v>131</v>
      </c>
      <c r="C30" t="s">
        <v>86</v>
      </c>
      <c r="D30" t="s">
        <v>90</v>
      </c>
      <c r="E30">
        <v>372998.82</v>
      </c>
      <c r="F30">
        <v>106783</v>
      </c>
      <c r="G30">
        <v>28318</v>
      </c>
      <c r="H30">
        <v>7220</v>
      </c>
      <c r="I30">
        <v>51.66</v>
      </c>
      <c r="J30">
        <v>14.79</v>
      </c>
      <c r="K30">
        <v>3</v>
      </c>
    </row>
    <row r="31" spans="1:11" x14ac:dyDescent="0.3">
      <c r="A31">
        <v>14</v>
      </c>
      <c r="B31" t="s">
        <v>132</v>
      </c>
      <c r="C31" t="s">
        <v>86</v>
      </c>
      <c r="D31" t="s">
        <v>95</v>
      </c>
      <c r="E31">
        <v>313916.59999999998</v>
      </c>
      <c r="F31">
        <v>88002</v>
      </c>
      <c r="G31">
        <v>24740</v>
      </c>
      <c r="H31">
        <v>6087</v>
      </c>
      <c r="I31">
        <v>51.57</v>
      </c>
      <c r="J31">
        <v>14.46</v>
      </c>
      <c r="K31">
        <v>4</v>
      </c>
    </row>
    <row r="32" spans="1:11" x14ac:dyDescent="0.3">
      <c r="A32">
        <v>23</v>
      </c>
      <c r="B32" t="s">
        <v>133</v>
      </c>
      <c r="C32" t="s">
        <v>89</v>
      </c>
      <c r="D32" t="s">
        <v>109</v>
      </c>
      <c r="E32">
        <v>248008.3</v>
      </c>
      <c r="F32">
        <v>69605</v>
      </c>
      <c r="G32">
        <v>18070</v>
      </c>
      <c r="H32">
        <v>4859</v>
      </c>
      <c r="I32">
        <v>51.04</v>
      </c>
      <c r="J32">
        <v>14.32</v>
      </c>
      <c r="K32">
        <v>3</v>
      </c>
    </row>
    <row r="33" spans="1:11" x14ac:dyDescent="0.3">
      <c r="A33">
        <v>27</v>
      </c>
      <c r="B33" t="s">
        <v>134</v>
      </c>
      <c r="C33" t="s">
        <v>86</v>
      </c>
      <c r="D33" t="s">
        <v>135</v>
      </c>
      <c r="E33">
        <v>242154.36</v>
      </c>
      <c r="F33">
        <v>59618</v>
      </c>
      <c r="G33">
        <v>18564</v>
      </c>
      <c r="H33">
        <v>4747</v>
      </c>
      <c r="I33">
        <v>51.01</v>
      </c>
      <c r="J33">
        <v>12.56</v>
      </c>
      <c r="K33">
        <v>3</v>
      </c>
    </row>
    <row r="34" spans="1:11" x14ac:dyDescent="0.3">
      <c r="A34">
        <v>24</v>
      </c>
      <c r="B34" t="s">
        <v>136</v>
      </c>
      <c r="C34" t="s">
        <v>86</v>
      </c>
      <c r="D34" t="s">
        <v>137</v>
      </c>
      <c r="E34">
        <v>239997.35</v>
      </c>
      <c r="F34">
        <v>68642</v>
      </c>
      <c r="G34">
        <v>17865</v>
      </c>
      <c r="H34">
        <v>4810</v>
      </c>
      <c r="I34">
        <v>49.9</v>
      </c>
      <c r="J34">
        <v>14.27</v>
      </c>
      <c r="K34">
        <v>3</v>
      </c>
    </row>
    <row r="35" spans="1:11" x14ac:dyDescent="0.3">
      <c r="A35">
        <v>19</v>
      </c>
      <c r="B35" t="s">
        <v>138</v>
      </c>
      <c r="C35" t="s">
        <v>89</v>
      </c>
      <c r="D35" t="s">
        <v>107</v>
      </c>
      <c r="E35">
        <v>258533.87</v>
      </c>
      <c r="F35">
        <v>75942</v>
      </c>
      <c r="G35">
        <v>19413</v>
      </c>
      <c r="H35">
        <v>5402</v>
      </c>
      <c r="I35">
        <v>47.86</v>
      </c>
      <c r="J35">
        <v>14.06</v>
      </c>
      <c r="K35">
        <v>3</v>
      </c>
    </row>
    <row r="36" spans="1:11" x14ac:dyDescent="0.3">
      <c r="A36">
        <v>13</v>
      </c>
      <c r="B36" t="s">
        <v>139</v>
      </c>
      <c r="C36" t="s">
        <v>86</v>
      </c>
      <c r="D36" t="s">
        <v>140</v>
      </c>
      <c r="E36">
        <v>292156.43</v>
      </c>
      <c r="F36">
        <v>77842</v>
      </c>
      <c r="G36">
        <v>21557</v>
      </c>
      <c r="H36">
        <v>6241</v>
      </c>
      <c r="I36">
        <v>46.81</v>
      </c>
      <c r="J36">
        <v>12.47</v>
      </c>
      <c r="K36">
        <v>3</v>
      </c>
    </row>
    <row r="37" spans="1:11" x14ac:dyDescent="0.3">
      <c r="A37">
        <v>10</v>
      </c>
      <c r="B37" t="s">
        <v>141</v>
      </c>
      <c r="C37" t="s">
        <v>86</v>
      </c>
      <c r="D37" t="s">
        <v>142</v>
      </c>
      <c r="E37">
        <v>311786.44</v>
      </c>
      <c r="F37">
        <v>88248</v>
      </c>
      <c r="G37">
        <v>24556</v>
      </c>
      <c r="H37">
        <v>6834</v>
      </c>
      <c r="I37">
        <v>45.62</v>
      </c>
      <c r="J37">
        <v>12.91</v>
      </c>
      <c r="K37">
        <v>3</v>
      </c>
    </row>
    <row r="38" spans="1:11" x14ac:dyDescent="0.3">
      <c r="A38">
        <v>16</v>
      </c>
      <c r="B38" t="s">
        <v>143</v>
      </c>
      <c r="C38" t="s">
        <v>86</v>
      </c>
      <c r="D38" t="s">
        <v>144</v>
      </c>
      <c r="E38">
        <v>263389.65000000002</v>
      </c>
      <c r="F38">
        <v>68880</v>
      </c>
      <c r="G38">
        <v>19635</v>
      </c>
      <c r="H38">
        <v>5979</v>
      </c>
      <c r="I38">
        <v>44.05</v>
      </c>
      <c r="J38">
        <v>11.52</v>
      </c>
      <c r="K38">
        <v>3</v>
      </c>
    </row>
    <row r="39" spans="1:11" x14ac:dyDescent="0.3">
      <c r="A39">
        <v>20</v>
      </c>
      <c r="B39" t="s">
        <v>145</v>
      </c>
      <c r="C39" t="s">
        <v>86</v>
      </c>
      <c r="D39" t="s">
        <v>146</v>
      </c>
      <c r="E39">
        <v>229983.04</v>
      </c>
      <c r="F39">
        <v>59160</v>
      </c>
      <c r="G39">
        <v>17196</v>
      </c>
      <c r="H39">
        <v>5238</v>
      </c>
      <c r="I39">
        <v>43.91</v>
      </c>
      <c r="J39">
        <v>11.29</v>
      </c>
      <c r="K39">
        <v>3</v>
      </c>
    </row>
    <row r="40" spans="1:11" x14ac:dyDescent="0.3">
      <c r="A40">
        <v>26</v>
      </c>
      <c r="B40" t="s">
        <v>147</v>
      </c>
      <c r="C40" t="s">
        <v>89</v>
      </c>
      <c r="D40" t="s">
        <v>142</v>
      </c>
      <c r="E40">
        <v>206055.23</v>
      </c>
      <c r="F40">
        <v>58091</v>
      </c>
      <c r="G40">
        <v>16277</v>
      </c>
      <c r="H40">
        <v>4764</v>
      </c>
      <c r="I40">
        <v>43.25</v>
      </c>
      <c r="J40">
        <v>12.19</v>
      </c>
      <c r="K40">
        <v>3</v>
      </c>
    </row>
    <row r="41" spans="1:11" x14ac:dyDescent="0.3">
      <c r="A41">
        <v>18</v>
      </c>
      <c r="B41" t="s">
        <v>148</v>
      </c>
      <c r="C41" t="s">
        <v>86</v>
      </c>
      <c r="D41" t="s">
        <v>149</v>
      </c>
      <c r="E41">
        <v>232097.72</v>
      </c>
      <c r="F41">
        <v>64399</v>
      </c>
      <c r="G41">
        <v>18328</v>
      </c>
      <c r="H41">
        <v>5518</v>
      </c>
      <c r="I41">
        <v>42.06</v>
      </c>
      <c r="J41">
        <v>11.67</v>
      </c>
      <c r="K41">
        <v>3</v>
      </c>
    </row>
    <row r="42" spans="1:11" x14ac:dyDescent="0.3">
      <c r="A42">
        <v>12</v>
      </c>
      <c r="B42" t="s">
        <v>150</v>
      </c>
      <c r="C42" t="s">
        <v>86</v>
      </c>
      <c r="D42" t="s">
        <v>151</v>
      </c>
      <c r="E42">
        <v>258919.35</v>
      </c>
      <c r="F42">
        <v>67940</v>
      </c>
      <c r="G42">
        <v>18965</v>
      </c>
      <c r="H42">
        <v>6358</v>
      </c>
      <c r="I42">
        <v>40.72</v>
      </c>
      <c r="J42">
        <v>10.69</v>
      </c>
      <c r="K42">
        <v>2</v>
      </c>
    </row>
    <row r="43" spans="1:11" x14ac:dyDescent="0.3">
      <c r="A43">
        <v>6</v>
      </c>
      <c r="B43" t="s">
        <v>152</v>
      </c>
      <c r="C43" t="s">
        <v>89</v>
      </c>
      <c r="D43" t="s">
        <v>140</v>
      </c>
      <c r="E43">
        <v>294019.42</v>
      </c>
      <c r="F43">
        <v>97206</v>
      </c>
      <c r="G43">
        <v>22858</v>
      </c>
      <c r="H43">
        <v>7232</v>
      </c>
      <c r="I43">
        <v>40.659999999999997</v>
      </c>
      <c r="J43">
        <v>13.44</v>
      </c>
      <c r="K43">
        <v>3</v>
      </c>
    </row>
    <row r="44" spans="1:11" x14ac:dyDescent="0.3">
      <c r="A44">
        <v>4</v>
      </c>
      <c r="B44" t="s">
        <v>153</v>
      </c>
      <c r="C44" t="s">
        <v>86</v>
      </c>
      <c r="D44" t="s">
        <v>105</v>
      </c>
      <c r="E44">
        <v>330408.90000000002</v>
      </c>
      <c r="F44">
        <v>94252</v>
      </c>
      <c r="G44">
        <v>24010</v>
      </c>
      <c r="H44">
        <v>8674</v>
      </c>
      <c r="I44">
        <v>38.090000000000003</v>
      </c>
      <c r="J44">
        <v>10.87</v>
      </c>
      <c r="K44">
        <v>2</v>
      </c>
    </row>
    <row r="45" spans="1:11" x14ac:dyDescent="0.3">
      <c r="A45">
        <v>15</v>
      </c>
      <c r="B45" t="s">
        <v>154</v>
      </c>
      <c r="C45" t="s">
        <v>86</v>
      </c>
      <c r="D45" t="s">
        <v>155</v>
      </c>
      <c r="E45">
        <v>229698.27</v>
      </c>
      <c r="F45">
        <v>65787</v>
      </c>
      <c r="G45">
        <v>19773</v>
      </c>
      <c r="H45">
        <v>6054</v>
      </c>
      <c r="I45">
        <v>37.94</v>
      </c>
      <c r="J45">
        <v>10.87</v>
      </c>
      <c r="K45">
        <v>3</v>
      </c>
    </row>
    <row r="46" spans="1:11" x14ac:dyDescent="0.3">
      <c r="A46">
        <v>8</v>
      </c>
      <c r="B46" t="s">
        <v>156</v>
      </c>
      <c r="C46" t="s">
        <v>86</v>
      </c>
      <c r="D46" t="s">
        <v>157</v>
      </c>
      <c r="E46">
        <v>237676.15</v>
      </c>
      <c r="F46">
        <v>63989</v>
      </c>
      <c r="G46">
        <v>19185</v>
      </c>
      <c r="H46">
        <v>6926</v>
      </c>
      <c r="I46">
        <v>34.32</v>
      </c>
      <c r="J46">
        <v>9.24</v>
      </c>
      <c r="K46">
        <v>2</v>
      </c>
    </row>
    <row r="47" spans="1:11" x14ac:dyDescent="0.3">
      <c r="A47">
        <v>11</v>
      </c>
      <c r="B47" t="s">
        <v>158</v>
      </c>
      <c r="C47" t="s">
        <v>86</v>
      </c>
      <c r="D47" t="s">
        <v>159</v>
      </c>
      <c r="E47">
        <v>221587.26</v>
      </c>
      <c r="F47">
        <v>56811</v>
      </c>
      <c r="G47">
        <v>17074</v>
      </c>
      <c r="H47">
        <v>6739</v>
      </c>
      <c r="I47">
        <v>32.880000000000003</v>
      </c>
      <c r="J47">
        <v>8.43</v>
      </c>
      <c r="K47">
        <v>2</v>
      </c>
    </row>
    <row r="48" spans="1:11" x14ac:dyDescent="0.3">
      <c r="A48">
        <v>3</v>
      </c>
      <c r="B48" t="s">
        <v>160</v>
      </c>
      <c r="C48" t="s">
        <v>89</v>
      </c>
      <c r="D48" t="s">
        <v>87</v>
      </c>
      <c r="E48">
        <v>262435.02</v>
      </c>
      <c r="F48">
        <v>75752</v>
      </c>
      <c r="G48">
        <v>20698</v>
      </c>
      <c r="H48">
        <v>8679</v>
      </c>
      <c r="I48">
        <v>30.24</v>
      </c>
      <c r="J48">
        <v>8.73</v>
      </c>
      <c r="K48">
        <v>2</v>
      </c>
    </row>
    <row r="49" spans="1:11" x14ac:dyDescent="0.3">
      <c r="A49">
        <v>2</v>
      </c>
      <c r="B49" t="s">
        <v>161</v>
      </c>
      <c r="C49" t="s">
        <v>94</v>
      </c>
      <c r="D49" t="s">
        <v>90</v>
      </c>
      <c r="E49">
        <v>277959.14</v>
      </c>
      <c r="F49">
        <v>73985</v>
      </c>
      <c r="G49">
        <v>20886</v>
      </c>
      <c r="H49">
        <v>10384</v>
      </c>
      <c r="I49">
        <v>26.77</v>
      </c>
      <c r="J49">
        <v>7.12</v>
      </c>
      <c r="K49">
        <v>2</v>
      </c>
    </row>
    <row r="50" spans="1:11" x14ac:dyDescent="0.3">
      <c r="A50">
        <v>5</v>
      </c>
      <c r="B50" t="s">
        <v>162</v>
      </c>
      <c r="C50" t="s">
        <v>86</v>
      </c>
      <c r="D50" t="s">
        <v>163</v>
      </c>
      <c r="E50">
        <v>210897.83</v>
      </c>
      <c r="F50">
        <v>57407</v>
      </c>
      <c r="G50">
        <v>16217</v>
      </c>
      <c r="H50">
        <v>8158</v>
      </c>
      <c r="I50">
        <v>25.85</v>
      </c>
      <c r="J50">
        <v>7.04</v>
      </c>
      <c r="K50">
        <v>1</v>
      </c>
    </row>
    <row r="51" spans="1:11" x14ac:dyDescent="0.3">
      <c r="A51">
        <v>1</v>
      </c>
      <c r="B51" t="s">
        <v>164</v>
      </c>
      <c r="C51" t="s">
        <v>94</v>
      </c>
      <c r="D51" t="s">
        <v>87</v>
      </c>
      <c r="E51">
        <v>261842.89</v>
      </c>
      <c r="F51">
        <v>69429</v>
      </c>
      <c r="G51">
        <v>20011</v>
      </c>
      <c r="H51">
        <v>11335</v>
      </c>
      <c r="I51">
        <v>23.1</v>
      </c>
      <c r="J51">
        <v>6.13</v>
      </c>
      <c r="K51">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DB7A30-62EE-4A77-891C-CAFB0FFEB05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fct_monthly_revenue</vt:lpstr>
      <vt:lpstr>yoy_monthly_growth</vt:lpstr>
      <vt:lpstr>product_top10_margin</vt:lpstr>
      <vt:lpstr>Total_profit_revenue_by_product</vt:lpstr>
      <vt:lpstr>fct_product_performance</vt:lpstr>
      <vt:lpstr>store_performance_by_city</vt:lpstr>
      <vt:lpstr>fct_store_performance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Baranovskis</dc:creator>
  <cp:lastModifiedBy>Ben Baranovskis</cp:lastModifiedBy>
  <dcterms:created xsi:type="dcterms:W3CDTF">2015-06-05T18:17:20Z</dcterms:created>
  <dcterms:modified xsi:type="dcterms:W3CDTF">2026-04-30T14:09:43Z</dcterms:modified>
</cp:coreProperties>
</file>